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480" yWindow="120" windowWidth="27960" windowHeight="14385"/>
  </bookViews>
  <sheets>
    <sheet name="Urun_Listesi" sheetId="1" r:id="rId1"/>
    <sheet name="URN 0001" sheetId="2" r:id="rId2"/>
    <sheet name="URN 0002" sheetId="4" r:id="rId3"/>
    <sheet name="SATIŞLAR_1" sheetId="6" r:id="rId4"/>
    <sheet name="SATIŞLAR_2" sheetId="7" r:id="rId5"/>
    <sheet name="Korumali_Veri_Girişi" sheetId="8" r:id="rId6"/>
    <sheet name="Personel_Izin" sheetId="9" r:id="rId7"/>
    <sheet name="Butce" sheetId="10" r:id="rId8"/>
  </sheets>
  <externalReferences>
    <externalReference r:id="rId9"/>
  </externalReferences>
  <definedNames>
    <definedName name="_xlnm._FilterDatabase" localSheetId="3" hidden="1">SATIŞLAR_1!$A$1:$I$37</definedName>
    <definedName name="_xlnm.Criteria" localSheetId="3">SATIŞLAR_1!$J$1:$J$1</definedName>
  </definedNames>
  <calcPr calcId="144525"/>
</workbook>
</file>

<file path=xl/calcChain.xml><?xml version="1.0" encoding="utf-8"?>
<calcChain xmlns="http://schemas.openxmlformats.org/spreadsheetml/2006/main">
  <c r="N16" i="10" l="1"/>
  <c r="B3" i="10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2" i="8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P12" i="7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O12" i="7"/>
  <c r="O13" i="7" s="1"/>
  <c r="J12" i="7"/>
  <c r="P11" i="7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AG11" i="7" s="1"/>
  <c r="AH11" i="7" s="1"/>
  <c r="AI11" i="7" s="1"/>
  <c r="J11" i="7"/>
  <c r="J10" i="7"/>
  <c r="J9" i="7"/>
  <c r="S8" i="7"/>
  <c r="Q8" i="7"/>
  <c r="P8" i="7"/>
  <c r="J8" i="7"/>
  <c r="S7" i="7"/>
  <c r="Q7" i="7"/>
  <c r="P7" i="7"/>
  <c r="J7" i="7"/>
  <c r="S6" i="7"/>
  <c r="Q6" i="7"/>
  <c r="P6" i="7"/>
  <c r="J6" i="7"/>
  <c r="S5" i="7"/>
  <c r="Q5" i="7"/>
  <c r="P5" i="7"/>
  <c r="J5" i="7"/>
  <c r="S4" i="7"/>
  <c r="Q4" i="7"/>
  <c r="P4" i="7"/>
  <c r="J4" i="7"/>
  <c r="Q3" i="7"/>
  <c r="P3" i="7"/>
  <c r="J3" i="7"/>
  <c r="S3" i="7" s="1"/>
  <c r="S2" i="7"/>
  <c r="Q2" i="7"/>
  <c r="P2" i="7"/>
  <c r="J2" i="7"/>
  <c r="O14" i="7" l="1"/>
  <c r="P13" i="7"/>
  <c r="Q13" i="7" s="1"/>
  <c r="R13" i="7" s="1"/>
  <c r="S13" i="7" s="1"/>
  <c r="T13" i="7" s="1"/>
  <c r="U13" i="7" s="1"/>
  <c r="V13" i="7" s="1"/>
  <c r="W13" i="7" s="1"/>
  <c r="X13" i="7" s="1"/>
  <c r="Y13" i="7" s="1"/>
  <c r="Z13" i="7" s="1"/>
  <c r="AA13" i="7" s="1"/>
  <c r="AB13" i="7" s="1"/>
  <c r="AC13" i="7" s="1"/>
  <c r="AD13" i="7" s="1"/>
  <c r="AE13" i="7" s="1"/>
  <c r="AF13" i="7" s="1"/>
  <c r="AG13" i="7" s="1"/>
  <c r="AH13" i="7" s="1"/>
  <c r="AI13" i="7" s="1"/>
  <c r="P14" i="7" l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G14" i="7" s="1"/>
  <c r="AH14" i="7" s="1"/>
  <c r="AI14" i="7" s="1"/>
  <c r="O15" i="7"/>
  <c r="O16" i="7" l="1"/>
  <c r="P15" i="7"/>
  <c r="Q15" i="7" s="1"/>
  <c r="R15" i="7" s="1"/>
  <c r="S15" i="7" s="1"/>
  <c r="T15" i="7" s="1"/>
  <c r="U15" i="7" s="1"/>
  <c r="V15" i="7" s="1"/>
  <c r="W15" i="7" s="1"/>
  <c r="X15" i="7" s="1"/>
  <c r="Y15" i="7" s="1"/>
  <c r="Z15" i="7" s="1"/>
  <c r="AA15" i="7" s="1"/>
  <c r="AB15" i="7" s="1"/>
  <c r="AC15" i="7" s="1"/>
  <c r="AD15" i="7" s="1"/>
  <c r="AE15" i="7" s="1"/>
  <c r="AF15" i="7" s="1"/>
  <c r="AG15" i="7" s="1"/>
  <c r="AH15" i="7" s="1"/>
  <c r="AI15" i="7" s="1"/>
  <c r="O17" i="7" l="1"/>
  <c r="P16" i="7"/>
  <c r="Q16" i="7" s="1"/>
  <c r="R16" i="7" s="1"/>
  <c r="O18" i="7" l="1"/>
  <c r="P17" i="7"/>
  <c r="Q17" i="7" s="1"/>
  <c r="R17" i="7" s="1"/>
  <c r="S17" i="7" s="1"/>
  <c r="T17" i="7" s="1"/>
  <c r="U17" i="7" s="1"/>
  <c r="V17" i="7" s="1"/>
  <c r="W17" i="7" s="1"/>
  <c r="X17" i="7" s="1"/>
  <c r="Y17" i="7" s="1"/>
  <c r="Z17" i="7" s="1"/>
  <c r="AA17" i="7" s="1"/>
  <c r="AB17" i="7" s="1"/>
  <c r="AC17" i="7" s="1"/>
  <c r="AD17" i="7" s="1"/>
  <c r="AE17" i="7" s="1"/>
  <c r="AF17" i="7" s="1"/>
  <c r="AG17" i="7" s="1"/>
  <c r="AH17" i="7" s="1"/>
  <c r="AI17" i="7" s="1"/>
  <c r="S16" i="7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R7" i="7"/>
  <c r="T7" i="7" s="1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O19" i="7" l="1"/>
  <c r="P18" i="7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H2" i="2"/>
  <c r="F5" i="2"/>
  <c r="E5" i="2"/>
  <c r="B2" i="2"/>
  <c r="O20" i="7" l="1"/>
  <c r="P19" i="7"/>
  <c r="Q19" i="7" s="1"/>
  <c r="R19" i="7" s="1"/>
  <c r="J5" i="2"/>
  <c r="N5" i="2"/>
  <c r="R5" i="2"/>
  <c r="K5" i="2"/>
  <c r="O5" i="2"/>
  <c r="H5" i="2"/>
  <c r="L5" i="2"/>
  <c r="P5" i="2"/>
  <c r="I5" i="2"/>
  <c r="M5" i="2"/>
  <c r="Q5" i="2"/>
  <c r="H3" i="2"/>
  <c r="I2" i="2"/>
  <c r="H4" i="2"/>
  <c r="E6" i="2"/>
  <c r="F6" i="2" s="1"/>
  <c r="O21" i="7" l="1"/>
  <c r="P20" i="7"/>
  <c r="Q20" i="7" s="1"/>
  <c r="R20" i="7" s="1"/>
  <c r="S20" i="7" s="1"/>
  <c r="S19" i="7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R8" i="7"/>
  <c r="T8" i="7" s="1"/>
  <c r="I6" i="2"/>
  <c r="I3" i="2"/>
  <c r="I4" i="2"/>
  <c r="J2" i="2"/>
  <c r="H6" i="2"/>
  <c r="E7" i="2"/>
  <c r="O22" i="7" l="1"/>
  <c r="P21" i="7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T20" i="7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R5" i="7"/>
  <c r="T5" i="7" s="1"/>
  <c r="J6" i="2"/>
  <c r="K2" i="2"/>
  <c r="J3" i="2"/>
  <c r="J4" i="2"/>
  <c r="F7" i="2"/>
  <c r="E8" i="2" s="1"/>
  <c r="O23" i="7" l="1"/>
  <c r="P22" i="7"/>
  <c r="Q22" i="7" s="1"/>
  <c r="R22" i="7" s="1"/>
  <c r="S22" i="7" s="1"/>
  <c r="T22" i="7" s="1"/>
  <c r="U22" i="7" s="1"/>
  <c r="V22" i="7" s="1"/>
  <c r="W22" i="7" s="1"/>
  <c r="X22" i="7" s="1"/>
  <c r="Y22" i="7" s="1"/>
  <c r="Z22" i="7" s="1"/>
  <c r="AA22" i="7" s="1"/>
  <c r="AB22" i="7" s="1"/>
  <c r="AC22" i="7" s="1"/>
  <c r="AD22" i="7" s="1"/>
  <c r="AE22" i="7" s="1"/>
  <c r="AF22" i="7" s="1"/>
  <c r="AG22" i="7" s="1"/>
  <c r="AH22" i="7" s="1"/>
  <c r="AI22" i="7" s="1"/>
  <c r="I7" i="2"/>
  <c r="L2" i="2"/>
  <c r="K6" i="2"/>
  <c r="K7" i="2"/>
  <c r="K4" i="2"/>
  <c r="K3" i="2"/>
  <c r="J7" i="2"/>
  <c r="F8" i="2"/>
  <c r="H8" i="2" s="1"/>
  <c r="H7" i="2"/>
  <c r="O24" i="7" l="1"/>
  <c r="P23" i="7"/>
  <c r="Q23" i="7" s="1"/>
  <c r="R23" i="7" s="1"/>
  <c r="S23" i="7" s="1"/>
  <c r="T23" i="7" s="1"/>
  <c r="U23" i="7" s="1"/>
  <c r="V23" i="7" s="1"/>
  <c r="W23" i="7" s="1"/>
  <c r="X23" i="7" s="1"/>
  <c r="Y23" i="7" s="1"/>
  <c r="Z23" i="7" s="1"/>
  <c r="AA23" i="7" s="1"/>
  <c r="AB23" i="7" s="1"/>
  <c r="AC23" i="7" s="1"/>
  <c r="AD23" i="7" s="1"/>
  <c r="AE23" i="7" s="1"/>
  <c r="AF23" i="7" s="1"/>
  <c r="AG23" i="7" s="1"/>
  <c r="AH23" i="7" s="1"/>
  <c r="AI23" i="7" s="1"/>
  <c r="I8" i="2"/>
  <c r="K8" i="2"/>
  <c r="M2" i="2"/>
  <c r="L7" i="2"/>
  <c r="L8" i="2"/>
  <c r="L6" i="2"/>
  <c r="L4" i="2"/>
  <c r="L3" i="2"/>
  <c r="E9" i="2"/>
  <c r="J8" i="2"/>
  <c r="O25" i="7" l="1"/>
  <c r="P24" i="7"/>
  <c r="Q24" i="7" s="1"/>
  <c r="R24" i="7" s="1"/>
  <c r="S24" i="7" s="1"/>
  <c r="N2" i="2"/>
  <c r="M6" i="2"/>
  <c r="M7" i="2"/>
  <c r="M8" i="2"/>
  <c r="M3" i="2"/>
  <c r="M4" i="2"/>
  <c r="F9" i="2"/>
  <c r="I9" i="2" s="1"/>
  <c r="O26" i="7" l="1"/>
  <c r="P25" i="7"/>
  <c r="Q25" i="7" s="1"/>
  <c r="R25" i="7" s="1"/>
  <c r="S25" i="7" s="1"/>
  <c r="T24" i="7"/>
  <c r="U24" i="7" s="1"/>
  <c r="V24" i="7" s="1"/>
  <c r="W24" i="7" s="1"/>
  <c r="X24" i="7" s="1"/>
  <c r="Y24" i="7" s="1"/>
  <c r="Z24" i="7" s="1"/>
  <c r="AA24" i="7" s="1"/>
  <c r="AB24" i="7" s="1"/>
  <c r="AC24" i="7" s="1"/>
  <c r="AD24" i="7" s="1"/>
  <c r="AE24" i="7" s="1"/>
  <c r="AF24" i="7" s="1"/>
  <c r="AG24" i="7" s="1"/>
  <c r="AH24" i="7" s="1"/>
  <c r="R4" i="7"/>
  <c r="T4" i="7" s="1"/>
  <c r="J9" i="2"/>
  <c r="H9" i="2"/>
  <c r="K9" i="2"/>
  <c r="O2" i="2"/>
  <c r="N9" i="2"/>
  <c r="N6" i="2"/>
  <c r="N7" i="2"/>
  <c r="N8" i="2"/>
  <c r="N4" i="2"/>
  <c r="N3" i="2"/>
  <c r="E10" i="2"/>
  <c r="L9" i="2"/>
  <c r="M9" i="2"/>
  <c r="O27" i="7" l="1"/>
  <c r="P26" i="7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I24" i="7"/>
  <c r="R2" i="7"/>
  <c r="T2" i="7" s="1"/>
  <c r="T25" i="7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R6" i="7"/>
  <c r="T6" i="7" s="1"/>
  <c r="R3" i="7"/>
  <c r="T3" i="7" s="1"/>
  <c r="P2" i="2"/>
  <c r="O8" i="2"/>
  <c r="O9" i="2"/>
  <c r="O6" i="2"/>
  <c r="O7" i="2"/>
  <c r="O4" i="2"/>
  <c r="O3" i="2"/>
  <c r="F10" i="2"/>
  <c r="E11" i="2" s="1"/>
  <c r="O28" i="7" l="1"/>
  <c r="P27" i="7"/>
  <c r="Q27" i="7" s="1"/>
  <c r="R27" i="7" s="1"/>
  <c r="S27" i="7" s="1"/>
  <c r="T27" i="7" s="1"/>
  <c r="U27" i="7" s="1"/>
  <c r="V27" i="7" s="1"/>
  <c r="W27" i="7" s="1"/>
  <c r="X27" i="7" s="1"/>
  <c r="Y27" i="7" s="1"/>
  <c r="Z27" i="7" s="1"/>
  <c r="AA27" i="7" s="1"/>
  <c r="AB27" i="7" s="1"/>
  <c r="AC27" i="7" s="1"/>
  <c r="AD27" i="7" s="1"/>
  <c r="AE27" i="7" s="1"/>
  <c r="AF27" i="7" s="1"/>
  <c r="AG27" i="7" s="1"/>
  <c r="AH27" i="7" s="1"/>
  <c r="AI27" i="7" s="1"/>
  <c r="K10" i="2"/>
  <c r="N10" i="2"/>
  <c r="Q2" i="2"/>
  <c r="P7" i="2"/>
  <c r="P8" i="2"/>
  <c r="P9" i="2"/>
  <c r="P6" i="2"/>
  <c r="P10" i="2"/>
  <c r="P3" i="2"/>
  <c r="P4" i="2"/>
  <c r="M10" i="2"/>
  <c r="J10" i="2"/>
  <c r="F11" i="2"/>
  <c r="E12" i="2" s="1"/>
  <c r="I10" i="2"/>
  <c r="O10" i="2"/>
  <c r="L10" i="2"/>
  <c r="H10" i="2"/>
  <c r="O29" i="7" l="1"/>
  <c r="P28" i="7"/>
  <c r="Q28" i="7" s="1"/>
  <c r="R28" i="7" s="1"/>
  <c r="S28" i="7" s="1"/>
  <c r="T28" i="7" s="1"/>
  <c r="U28" i="7" s="1"/>
  <c r="V28" i="7" s="1"/>
  <c r="W28" i="7" s="1"/>
  <c r="X28" i="7" s="1"/>
  <c r="Y28" i="7" s="1"/>
  <c r="Z28" i="7" s="1"/>
  <c r="AA28" i="7" s="1"/>
  <c r="AB28" i="7" s="1"/>
  <c r="AC28" i="7" s="1"/>
  <c r="AD28" i="7" s="1"/>
  <c r="AE28" i="7" s="1"/>
  <c r="AF28" i="7" s="1"/>
  <c r="AG28" i="7" s="1"/>
  <c r="AH28" i="7" s="1"/>
  <c r="AI28" i="7" s="1"/>
  <c r="L11" i="2"/>
  <c r="N11" i="2"/>
  <c r="J11" i="2"/>
  <c r="H11" i="2"/>
  <c r="O11" i="2"/>
  <c r="K11" i="2"/>
  <c r="R2" i="2"/>
  <c r="Q6" i="2"/>
  <c r="Q10" i="2"/>
  <c r="Q7" i="2"/>
  <c r="Q11" i="2"/>
  <c r="Q8" i="2"/>
  <c r="Q9" i="2"/>
  <c r="Q3" i="2"/>
  <c r="Q4" i="2"/>
  <c r="F12" i="2"/>
  <c r="I12" i="2" s="1"/>
  <c r="L12" i="2"/>
  <c r="P11" i="2"/>
  <c r="M11" i="2"/>
  <c r="I11" i="2"/>
  <c r="P29" i="7" l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O30" i="7"/>
  <c r="P30" i="7" s="1"/>
  <c r="Q30" i="7" s="1"/>
  <c r="R30" i="7" s="1"/>
  <c r="S30" i="7" s="1"/>
  <c r="T30" i="7" s="1"/>
  <c r="U30" i="7" s="1"/>
  <c r="V30" i="7" s="1"/>
  <c r="W30" i="7" s="1"/>
  <c r="X30" i="7" s="1"/>
  <c r="Y30" i="7" s="1"/>
  <c r="Z30" i="7" s="1"/>
  <c r="AA30" i="7" s="1"/>
  <c r="AB30" i="7" s="1"/>
  <c r="AC30" i="7" s="1"/>
  <c r="AD30" i="7" s="1"/>
  <c r="AE30" i="7" s="1"/>
  <c r="AF30" i="7" s="1"/>
  <c r="AG30" i="7" s="1"/>
  <c r="AH30" i="7" s="1"/>
  <c r="AI30" i="7" s="1"/>
  <c r="Q12" i="2"/>
  <c r="K12" i="2"/>
  <c r="O12" i="2"/>
  <c r="J12" i="2"/>
  <c r="N12" i="2"/>
  <c r="H12" i="2"/>
  <c r="R9" i="2"/>
  <c r="R6" i="2"/>
  <c r="R10" i="2"/>
  <c r="R7" i="2"/>
  <c r="R11" i="2"/>
  <c r="R8" i="2"/>
  <c r="R12" i="2"/>
  <c r="S2" i="2"/>
  <c r="R3" i="2"/>
  <c r="R4" i="2"/>
  <c r="M12" i="2"/>
  <c r="E13" i="2"/>
  <c r="P12" i="2"/>
  <c r="F13" i="2" l="1"/>
  <c r="E14" i="2" s="1"/>
  <c r="T2" i="2"/>
  <c r="S8" i="2"/>
  <c r="S12" i="2"/>
  <c r="S9" i="2"/>
  <c r="S6" i="2"/>
  <c r="S10" i="2"/>
  <c r="S5" i="2"/>
  <c r="S7" i="2"/>
  <c r="S11" i="2"/>
  <c r="S3" i="2"/>
  <c r="S4" i="2"/>
  <c r="R13" i="2" l="1"/>
  <c r="Q13" i="2"/>
  <c r="O13" i="2"/>
  <c r="M13" i="2"/>
  <c r="K13" i="2"/>
  <c r="F14" i="2"/>
  <c r="S13" i="2"/>
  <c r="T7" i="2"/>
  <c r="T11" i="2"/>
  <c r="T8" i="2"/>
  <c r="T12" i="2"/>
  <c r="T9" i="2"/>
  <c r="T13" i="2"/>
  <c r="T6" i="2"/>
  <c r="T10" i="2"/>
  <c r="T5" i="2"/>
  <c r="U2" i="2"/>
  <c r="T3" i="2"/>
  <c r="T4" i="2"/>
  <c r="N13" i="2"/>
  <c r="J13" i="2"/>
  <c r="I13" i="2"/>
  <c r="P13" i="2"/>
  <c r="L13" i="2"/>
  <c r="H13" i="2"/>
  <c r="I14" i="2" l="1"/>
  <c r="M14" i="2"/>
  <c r="Q14" i="2"/>
  <c r="H14" i="2"/>
  <c r="J14" i="2"/>
  <c r="N14" i="2"/>
  <c r="R14" i="2"/>
  <c r="K14" i="2"/>
  <c r="O14" i="2"/>
  <c r="S14" i="2"/>
  <c r="L14" i="2"/>
  <c r="P14" i="2"/>
  <c r="T14" i="2"/>
  <c r="U6" i="2"/>
  <c r="U10" i="2"/>
  <c r="U14" i="2"/>
  <c r="U5" i="2"/>
  <c r="U7" i="2"/>
  <c r="U11" i="2"/>
  <c r="U8" i="2"/>
  <c r="U12" i="2"/>
  <c r="U9" i="2"/>
  <c r="U13" i="2"/>
  <c r="U3" i="2"/>
  <c r="U4" i="2"/>
  <c r="V2" i="2"/>
  <c r="V9" i="2" l="1"/>
  <c r="V13" i="2"/>
  <c r="V6" i="2"/>
  <c r="V10" i="2"/>
  <c r="V14" i="2"/>
  <c r="V5" i="2"/>
  <c r="V7" i="2"/>
  <c r="V11" i="2"/>
  <c r="V8" i="2"/>
  <c r="V12" i="2"/>
  <c r="V4" i="2"/>
  <c r="W2" i="2"/>
  <c r="V3" i="2"/>
  <c r="W8" i="2" l="1"/>
  <c r="W12" i="2"/>
  <c r="W9" i="2"/>
  <c r="W13" i="2"/>
  <c r="W6" i="2"/>
  <c r="W10" i="2"/>
  <c r="W14" i="2"/>
  <c r="W5" i="2"/>
  <c r="W7" i="2"/>
  <c r="W11" i="2"/>
  <c r="X2" i="2"/>
  <c r="W3" i="2"/>
  <c r="W4" i="2"/>
  <c r="X7" i="2" l="1"/>
  <c r="X11" i="2"/>
  <c r="X8" i="2"/>
  <c r="X12" i="2"/>
  <c r="X9" i="2"/>
  <c r="X13" i="2"/>
  <c r="X6" i="2"/>
  <c r="X10" i="2"/>
  <c r="X14" i="2"/>
  <c r="X5" i="2"/>
  <c r="X4" i="2"/>
  <c r="X3" i="2"/>
</calcChain>
</file>

<file path=xl/sharedStrings.xml><?xml version="1.0" encoding="utf-8"?>
<sst xmlns="http://schemas.openxmlformats.org/spreadsheetml/2006/main" count="665" uniqueCount="280">
  <si>
    <t>Ürün Kodu</t>
  </si>
  <si>
    <t>URN 0001</t>
  </si>
  <si>
    <t>URN 0002</t>
  </si>
  <si>
    <t>URN 0003</t>
  </si>
  <si>
    <t>URN 0004</t>
  </si>
  <si>
    <t>URN 0005</t>
  </si>
  <si>
    <t>URN 0006</t>
  </si>
  <si>
    <t>URN 0007</t>
  </si>
  <si>
    <t>URN 0008</t>
  </si>
  <si>
    <t>URN 0009</t>
  </si>
  <si>
    <t>URN 0010</t>
  </si>
  <si>
    <t>Ürün Adı</t>
  </si>
  <si>
    <t>Ürün Tanımlama 1</t>
  </si>
  <si>
    <t>Ürün Tanımlama 2</t>
  </si>
  <si>
    <t>Ürün Tanımlama 3</t>
  </si>
  <si>
    <t>Ürün Tanımlama 4</t>
  </si>
  <si>
    <t>Ürün Tanımlama 5</t>
  </si>
  <si>
    <t>Ürün Tanımlama 6</t>
  </si>
  <si>
    <t>Ürün Tanımlama 7</t>
  </si>
  <si>
    <t>Ürün Tanımlama 8</t>
  </si>
  <si>
    <t>Ürün Tanımlama 9</t>
  </si>
  <si>
    <t>Ürün Tanımlama 10</t>
  </si>
  <si>
    <t>Ürün Fiyatı</t>
  </si>
  <si>
    <t>İşlem</t>
  </si>
  <si>
    <t>Birim Süre (dk)</t>
  </si>
  <si>
    <t>LAZER KESIM</t>
  </si>
  <si>
    <t>MATKAP</t>
  </si>
  <si>
    <t>TESVIYE</t>
  </si>
  <si>
    <t>ABKANT BÜKÜM</t>
  </si>
  <si>
    <t>OLCU KONTROL</t>
  </si>
  <si>
    <t>KAPLAMA</t>
  </si>
  <si>
    <t>KAPLAMA DENETIMI</t>
  </si>
  <si>
    <t>BOYA</t>
  </si>
  <si>
    <t>BOYA DENETIMI</t>
  </si>
  <si>
    <t>MARKALAMA</t>
  </si>
  <si>
    <t>Reçete 
Sıra No</t>
  </si>
  <si>
    <t>Üretim Adedi</t>
  </si>
  <si>
    <t>Başlangıç Tarihi</t>
  </si>
  <si>
    <t>Bitiş Tarihi</t>
  </si>
  <si>
    <t>T--</t>
  </si>
  <si>
    <t>ABKANT BÜKÜM-1</t>
  </si>
  <si>
    <t>ABKANT BÜKÜM-2</t>
  </si>
  <si>
    <t>ABKANT BÜKÜM-3</t>
  </si>
  <si>
    <t>CMM</t>
  </si>
  <si>
    <t>OLCU-TESVIYE DENETIMI</t>
  </si>
  <si>
    <t>KAYNAK</t>
  </si>
  <si>
    <t>KAYNAK KONTROL</t>
  </si>
  <si>
    <t>KAYNAK DENETIMI</t>
  </si>
  <si>
    <t>ÜRÜN KODU</t>
  </si>
  <si>
    <t>ÜRÜN ADI</t>
  </si>
  <si>
    <t>MARKA</t>
  </si>
  <si>
    <t>KATEGORİ</t>
  </si>
  <si>
    <t>BİRİMİ</t>
  </si>
  <si>
    <t>KDV ORANI</t>
  </si>
  <si>
    <t>Adet</t>
  </si>
  <si>
    <t>FİYAT1</t>
  </si>
  <si>
    <t>Toplam</t>
  </si>
  <si>
    <t>00758-03</t>
  </si>
  <si>
    <t>ÇOKOMEL  MUZLU</t>
  </si>
  <si>
    <t>FC GIDA</t>
  </si>
  <si>
    <t>ATIŞTIRMALIK</t>
  </si>
  <si>
    <t>ADET</t>
  </si>
  <si>
    <t>00893-01</t>
  </si>
  <si>
    <t xml:space="preserve">ÇOKOMEL  KAKOLU </t>
  </si>
  <si>
    <t>00894-00</t>
  </si>
  <si>
    <t xml:space="preserve">ÇOKOMEL  KAKOLU       </t>
  </si>
  <si>
    <t>00894-01</t>
  </si>
  <si>
    <t>ÇOKOPRENS TURTA -FC</t>
  </si>
  <si>
    <t>00895-00</t>
  </si>
  <si>
    <t>ÇOKOMEL  HİNDİSTANCEVİZLİ</t>
  </si>
  <si>
    <t>01262-03</t>
  </si>
  <si>
    <t>MOZAİK KEK</t>
  </si>
  <si>
    <t>01263-04</t>
  </si>
  <si>
    <t>KAPLAMALI KREMALI KEK</t>
  </si>
  <si>
    <t>01263-05</t>
  </si>
  <si>
    <t>KAKAOLU FINDIKLI KEK</t>
  </si>
  <si>
    <t>3454-66</t>
  </si>
  <si>
    <t>ÇOKOMEL  ÇİLEKLİ</t>
  </si>
  <si>
    <t>04112-24</t>
  </si>
  <si>
    <t>5 L TNK. AYÇİÇEK YAĞI</t>
  </si>
  <si>
    <t>FC AYÇİÇEK</t>
  </si>
  <si>
    <t>TEMEL GIDA</t>
  </si>
  <si>
    <t>04112-25</t>
  </si>
  <si>
    <t>5 L PET AYÇİÇEK YAĞI</t>
  </si>
  <si>
    <t>04112-28</t>
  </si>
  <si>
    <t>10 L AYÇİÇEK YAĞI</t>
  </si>
  <si>
    <t>04112-29</t>
  </si>
  <si>
    <t>18 L AYÇİÇEK YAĞI</t>
  </si>
  <si>
    <t>4600-21</t>
  </si>
  <si>
    <t>1 LT AYÇİÇEK YAĞI FC</t>
  </si>
  <si>
    <t>610-23</t>
  </si>
  <si>
    <t>3 L AYÇİÇEK YAĞI FC</t>
  </si>
  <si>
    <t>6395-22</t>
  </si>
  <si>
    <t>2 LT AYÇİÇEK YAĞI FC</t>
  </si>
  <si>
    <t>00052-01</t>
  </si>
  <si>
    <t xml:space="preserve">500 GR CAM MAYONEZ </t>
  </si>
  <si>
    <t>00056-01</t>
  </si>
  <si>
    <t xml:space="preserve">365 g MAYONEZ </t>
  </si>
  <si>
    <t>00071-04</t>
  </si>
  <si>
    <t xml:space="preserve">670 g MAYONEZ </t>
  </si>
  <si>
    <t>01260-00</t>
  </si>
  <si>
    <t>670 g MAYONEZ SOS</t>
  </si>
  <si>
    <t>06500-02</t>
  </si>
  <si>
    <t>EV ÇORBASI</t>
  </si>
  <si>
    <t>34534-444</t>
  </si>
  <si>
    <t>250 g CAM MAYONEZ</t>
  </si>
  <si>
    <t>04111-19</t>
  </si>
  <si>
    <t>1/2X6 SHRINK ŞİŞE SÜT</t>
  </si>
  <si>
    <t>FC SÜT</t>
  </si>
  <si>
    <t>34545-44</t>
  </si>
  <si>
    <t>1/1X6 SHRINK ŞİŞE SÜT</t>
  </si>
  <si>
    <t>4600-4</t>
  </si>
  <si>
    <t>1/1X6 BASKILI ŞİŞE SÜT</t>
  </si>
  <si>
    <t>6395-05</t>
  </si>
  <si>
    <t>1500 ML.ŞİŞE SÜT SHRINK</t>
  </si>
  <si>
    <t>04109-15</t>
  </si>
  <si>
    <t>ZEYTİN YAĞI 1 kg</t>
  </si>
  <si>
    <t>FC-YAĞLARI</t>
  </si>
  <si>
    <t>04109-16</t>
  </si>
  <si>
    <t>ZEYTİN YAĞI 2 kg</t>
  </si>
  <si>
    <t>04112-19</t>
  </si>
  <si>
    <t>AYÇİÇEK YAĞI 1 LT</t>
  </si>
  <si>
    <t>43543-45</t>
  </si>
  <si>
    <t>ZEYTİN YAĞI 5 KG</t>
  </si>
  <si>
    <t>04112-18</t>
  </si>
  <si>
    <t xml:space="preserve">AYÇİÇEK YAĞI 5 LT </t>
  </si>
  <si>
    <t>ÖRNEK YAĞCI</t>
  </si>
  <si>
    <t>04112-26</t>
  </si>
  <si>
    <t>AYÇİÇEK YAĞI 18 LT</t>
  </si>
  <si>
    <t>04112-27</t>
  </si>
  <si>
    <t>AYÇİÇEK YAĞI 10 LT</t>
  </si>
  <si>
    <t>04112-30</t>
  </si>
  <si>
    <t>AYÇİÇEK YAĞI 3 LT</t>
  </si>
  <si>
    <t>04112-31</t>
  </si>
  <si>
    <t>AYÇİÇEK YAĞI 5 LT</t>
  </si>
  <si>
    <t>04112-32</t>
  </si>
  <si>
    <t>AYÇİÇEK YAĞI 2 LT</t>
  </si>
  <si>
    <t>TARİH</t>
  </si>
  <si>
    <t>FATURA NO</t>
  </si>
  <si>
    <t>MÜŞTERİ</t>
  </si>
  <si>
    <t>SATIŞ TEMSİLCİSİ</t>
  </si>
  <si>
    <t>FİYAT</t>
  </si>
  <si>
    <t>TUTAR</t>
  </si>
  <si>
    <t>ÖDEME</t>
  </si>
  <si>
    <t>Satış temsilcisi</t>
  </si>
  <si>
    <t>işe Giriş Tarihi</t>
  </si>
  <si>
    <t>Yıl</t>
  </si>
  <si>
    <t>Satış Adetleri</t>
  </si>
  <si>
    <t>Prim Oranları</t>
  </si>
  <si>
    <t>Satış Toplam</t>
  </si>
  <si>
    <t>Prim Miktarı</t>
  </si>
  <si>
    <t>AKTAŞ TİC.</t>
  </si>
  <si>
    <t>AHMET DEMİRLER</t>
  </si>
  <si>
    <t>06489-07</t>
  </si>
  <si>
    <t>KMT TATLI</t>
  </si>
  <si>
    <t>KREDİ KARTI</t>
  </si>
  <si>
    <t>ERDOĞAN YILMAZ</t>
  </si>
  <si>
    <t>06489-08</t>
  </si>
  <si>
    <t>NAKİT</t>
  </si>
  <si>
    <t>BİZİM TİC.</t>
  </si>
  <si>
    <t>06500-07</t>
  </si>
  <si>
    <t>MEDİHA ÖRNEK</t>
  </si>
  <si>
    <t>CAN AŞ</t>
  </si>
  <si>
    <t>610-06</t>
  </si>
  <si>
    <t>SUAT ER</t>
  </si>
  <si>
    <t>DİNÇER TİCARET</t>
  </si>
  <si>
    <t>CEMAL DENİZ</t>
  </si>
  <si>
    <t>EREN TİCARET</t>
  </si>
  <si>
    <t>ZEYNEP ÖRNEK</t>
  </si>
  <si>
    <t>ÖRNEK PAZARLAMA</t>
  </si>
  <si>
    <t>ALİ YILMAZ</t>
  </si>
  <si>
    <t>SEYMEN AŞ</t>
  </si>
  <si>
    <t>YÜZLER TİCARET</t>
  </si>
  <si>
    <t>06489-09</t>
  </si>
  <si>
    <t>CARİ</t>
  </si>
  <si>
    <t>Tecrübe Yıl/Satış Adedi</t>
  </si>
  <si>
    <t>KMT AYÇİÇEK</t>
  </si>
  <si>
    <t>BOL TİCARET</t>
  </si>
  <si>
    <t>İZMİR AŞ</t>
  </si>
  <si>
    <t>KMT SÜT</t>
  </si>
  <si>
    <t>ALİ YILMAZ LEARNİNG</t>
  </si>
  <si>
    <t>HÜRRİYET TİCARET</t>
  </si>
  <si>
    <t>KMT-YAĞLARI</t>
  </si>
  <si>
    <t>ÖRNEK TİC.</t>
  </si>
  <si>
    <t>GÜVEN TİCARET</t>
  </si>
  <si>
    <t xml:space="preserve">TAT </t>
  </si>
  <si>
    <t>Tarih</t>
  </si>
  <si>
    <t>Sno</t>
  </si>
  <si>
    <t>Açıklama</t>
  </si>
  <si>
    <t>Satış Adedi</t>
  </si>
  <si>
    <t>Birim Fiyat</t>
  </si>
  <si>
    <t>sda</t>
  </si>
  <si>
    <t>Personel Adı</t>
  </si>
  <si>
    <t>Personel Soyadı</t>
  </si>
  <si>
    <t>İzin Tarihi</t>
  </si>
  <si>
    <t>NEJMİ</t>
  </si>
  <si>
    <t>SOYKAN</t>
  </si>
  <si>
    <t>MEHMET HALİT</t>
  </si>
  <si>
    <t>SERAN</t>
  </si>
  <si>
    <t>AYDIN</t>
  </si>
  <si>
    <t>DEVECİ</t>
  </si>
  <si>
    <t>AYŞE</t>
  </si>
  <si>
    <t>ADINIR</t>
  </si>
  <si>
    <t>AYŞEGÜL</t>
  </si>
  <si>
    <t>MERAL</t>
  </si>
  <si>
    <t>BERRİN</t>
  </si>
  <si>
    <t>EREVİK</t>
  </si>
  <si>
    <t>BETÜL</t>
  </si>
  <si>
    <t>FETTAHLI</t>
  </si>
  <si>
    <t>BİRSEN</t>
  </si>
  <si>
    <t>GÜVEN</t>
  </si>
  <si>
    <t>CEM</t>
  </si>
  <si>
    <t>İRHAN</t>
  </si>
  <si>
    <t>DEMET</t>
  </si>
  <si>
    <t>ÖZCAN</t>
  </si>
  <si>
    <t>GÖZCÜ ATEŞ</t>
  </si>
  <si>
    <t>DİLEK</t>
  </si>
  <si>
    <t>YURDAKUL</t>
  </si>
  <si>
    <t>GEZER</t>
  </si>
  <si>
    <t>DUYGU</t>
  </si>
  <si>
    <t>KAYA</t>
  </si>
  <si>
    <t>ELA</t>
  </si>
  <si>
    <t>ALTAN</t>
  </si>
  <si>
    <t>ERAY</t>
  </si>
  <si>
    <t>ERDEM</t>
  </si>
  <si>
    <t>ESRA</t>
  </si>
  <si>
    <t>KARAMÜRSEL OKAY</t>
  </si>
  <si>
    <t>EYLEM</t>
  </si>
  <si>
    <t>SEVERCAN</t>
  </si>
  <si>
    <t>FATİH</t>
  </si>
  <si>
    <t>ŞAHİN</t>
  </si>
  <si>
    <t>FATMA</t>
  </si>
  <si>
    <t>FİLİZ</t>
  </si>
  <si>
    <t>GÜZEL</t>
  </si>
  <si>
    <t>BOYRAZ</t>
  </si>
  <si>
    <t>FİSUN</t>
  </si>
  <si>
    <t>GÜNGÖR</t>
  </si>
  <si>
    <t>GÖNÜL</t>
  </si>
  <si>
    <t>KELEŞ</t>
  </si>
  <si>
    <t>GÜLCAN</t>
  </si>
  <si>
    <t>DOĞAN</t>
  </si>
  <si>
    <t>GÜLPERİ</t>
  </si>
  <si>
    <t>BULUT</t>
  </si>
  <si>
    <t>HALİDE</t>
  </si>
  <si>
    <t>ÇELİK</t>
  </si>
  <si>
    <t>KAZIM</t>
  </si>
  <si>
    <t>UĞUR</t>
  </si>
  <si>
    <t>LALE</t>
  </si>
  <si>
    <t>BEYAZIT</t>
  </si>
  <si>
    <t>MELEK</t>
  </si>
  <si>
    <t>HÖBEK</t>
  </si>
  <si>
    <t>MURAT</t>
  </si>
  <si>
    <t>ATEŞ</t>
  </si>
  <si>
    <t>GİDERLER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</si>
  <si>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</si>
  <si>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</si>
  <si>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</si>
  <si>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</si>
  <si>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</si>
  <si>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</si>
  <si>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</si>
  <si>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</si>
  <si>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</si>
  <si>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</si>
  <si>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</si>
  <si>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</si>
  <si>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TOPLAM</t>
  </si>
  <si>
    <t>Reklam</t>
  </si>
  <si>
    <t>Ücretler</t>
  </si>
  <si>
    <t>Kira</t>
  </si>
  <si>
    <t>Elektrik-Su-Doğalgaz</t>
  </si>
  <si>
    <t>Sigorta</t>
  </si>
  <si>
    <t>Telefon</t>
  </si>
  <si>
    <t>Kırtasiye</t>
  </si>
  <si>
    <t>Mutfak</t>
  </si>
  <si>
    <t>Eğitim</t>
  </si>
  <si>
    <t>Yol ve Seyahat</t>
  </si>
  <si>
    <t>Vergi ve Lisanslar</t>
  </si>
  <si>
    <t>Faiz</t>
  </si>
  <si>
    <t xml:space="preserve">TOPLAM: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</si>
</sst>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₺&quot;_-;\-* #,##0.00\ &quot;₺&quot;_-;_-* &quot;-&quot;??\ &quot;₺&quot;_-;_-@_-"/>
    <numFmt numFmtId="43" formatCode="_-* #,##0.00\ _₺_-;\-* #,##0.00\ _₺_-;_-* &quot;-&quot;??\ _₺_-;_-@_-"/>
    <numFmt numFmtId="164" formatCode="[$-41F]d\ mmmm\ yyyy\ h:mm;@"/>
    <numFmt numFmtId="165" formatCode="_(* #,##0.00_);_(* \(#,##0.00\);_(* &quot;-&quot;??_);_(@_)"/>
    <numFmt numFmtId="166" formatCode="_-* #,##0.00\ &quot;TL&quot;_-;\-* #,##0.00\ &quot;TL&quot;_-;_-* &quot;-&quot;??\ &quot;TL&quot;_-;_-@_-"/>
    <numFmt numFmtId="167" formatCode="_(* #,##0_);_(* \(#,##0\);_(* &quot;-&quot;??_);_(@_)"/>
  </numFmts>
  <fonts count="23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indexed="8"/>
      <name val="Calibri"/>
      <charset val="162"/>
    </font>
    <font>
      <sz val="10"/>
      <color indexed="8"/>
      <name val="Arial"/>
      <charset val="162"/>
    </font>
    <font>
      <sz val="11"/>
      <color indexed="8"/>
      <name val="Calibri"/>
      <family val="2"/>
      <charset val="162"/>
    </font>
    <font>
      <sz val="10"/>
      <color indexed="8"/>
      <name val="Arial"/>
      <family val="2"/>
      <charset val="162"/>
    </font>
    <font>
      <b/>
      <sz val="11"/>
      <name val="Calibri"/>
      <family val="2"/>
      <charset val="162"/>
      <scheme val="minor"/>
    </font>
    <font>
      <sz val="10"/>
      <name val="Arial Tur"/>
    </font>
    <font>
      <sz val="10"/>
      <name val="Arial"/>
      <family val="2"/>
    </font>
    <font>
      <sz val="10"/>
      <name val="Arial Tur"/>
      <charset val="162"/>
    </font>
    <font>
      <u/>
      <sz val="10"/>
      <color indexed="12"/>
      <name val="Arial"/>
      <family val="2"/>
    </font>
    <font>
      <b/>
      <sz val="7.5"/>
      <name val="Arial Narrow"/>
      <family val="2"/>
    </font>
    <font>
      <sz val="10"/>
      <name val="Futura Bk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sz val="6"/>
      <name val="Times New Roman"/>
      <family val="1"/>
    </font>
    <font>
      <b/>
      <sz val="16"/>
      <name val="Arial Narrow"/>
      <family val="2"/>
    </font>
    <font>
      <sz val="11"/>
      <color indexed="8"/>
      <name val="Calibri"/>
      <family val="2"/>
    </font>
    <font>
      <sz val="10"/>
      <name val="Futura Bk"/>
      <family val="2"/>
    </font>
    <font>
      <sz val="11"/>
      <name val="Arial Tur"/>
      <family val="2"/>
      <charset val="162"/>
    </font>
    <font>
      <sz val="12"/>
      <name val="Arial Tur"/>
      <family val="2"/>
      <charset val="162"/>
    </font>
    <font>
      <sz val="11"/>
      <name val="Arial Tu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6" fillId="0" borderId="0"/>
    <xf numFmtId="0" fontId="1" fillId="0" borderId="0"/>
    <xf numFmtId="0" fontId="8" fillId="0" borderId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4">
      <alignment horizontal="left" wrapText="1"/>
      <protection locked="0"/>
    </xf>
    <xf numFmtId="0" fontId="13" fillId="0" borderId="0"/>
    <xf numFmtId="0" fontId="1" fillId="0" borderId="0"/>
    <xf numFmtId="0" fontId="14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4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6" fillId="0" borderId="0">
      <alignment horizontal="left"/>
      <protection locked="0"/>
    </xf>
    <xf numFmtId="9" fontId="8" fillId="0" borderId="0" applyFont="0" applyFill="0" applyBorder="0" applyAlignment="0" applyProtection="0"/>
    <xf numFmtId="0" fontId="17" fillId="0" borderId="0"/>
    <xf numFmtId="165" fontId="18" fillId="0" borderId="0" applyFont="0" applyFill="0" applyBorder="0" applyAlignment="0" applyProtection="0"/>
    <xf numFmtId="165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" fillId="0" borderId="0"/>
  </cellStyleXfs>
  <cellXfs count="41">
    <xf numFmtId="0" fontId="0" fillId="0" borderId="0" xfId="0"/>
    <xf numFmtId="0" fontId="3" fillId="0" borderId="1" xfId="2" applyFont="1" applyFill="1" applyBorder="1" applyAlignment="1">
      <alignment horizontal="right" wrapText="1"/>
    </xf>
    <xf numFmtId="0" fontId="3" fillId="0" borderId="1" xfId="2" applyFont="1" applyFill="1" applyBorder="1" applyAlignment="1">
      <alignment wrapText="1"/>
    </xf>
    <xf numFmtId="0" fontId="2" fillId="0" borderId="0" xfId="0" applyFont="1"/>
    <xf numFmtId="0" fontId="0" fillId="2" borderId="0" xfId="0" applyFill="1"/>
    <xf numFmtId="43" fontId="0" fillId="0" borderId="0" xfId="1" applyFont="1"/>
    <xf numFmtId="14" fontId="0" fillId="0" borderId="0" xfId="0" applyNumberFormat="1"/>
    <xf numFmtId="164" fontId="0" fillId="0" borderId="0" xfId="0" applyNumberFormat="1"/>
    <xf numFmtId="0" fontId="5" fillId="0" borderId="1" xfId="3" applyFont="1" applyFill="1" applyBorder="1" applyAlignment="1">
      <alignment horizontal="right" wrapText="1"/>
    </xf>
    <xf numFmtId="0" fontId="5" fillId="0" borderId="1" xfId="3" applyFont="1" applyFill="1" applyBorder="1" applyAlignment="1">
      <alignment wrapText="1"/>
    </xf>
    <xf numFmtId="0" fontId="2" fillId="3" borderId="2" xfId="4" applyFont="1" applyFill="1" applyBorder="1"/>
    <xf numFmtId="0" fontId="7" fillId="3" borderId="3" xfId="4" applyNumberFormat="1" applyFont="1" applyFill="1" applyBorder="1" applyAlignment="1"/>
    <xf numFmtId="0" fontId="1" fillId="0" borderId="0" xfId="4" applyFont="1"/>
    <xf numFmtId="0" fontId="1" fillId="0" borderId="0" xfId="4"/>
    <xf numFmtId="0" fontId="8" fillId="0" borderId="0" xfId="5"/>
    <xf numFmtId="2" fontId="1" fillId="0" borderId="0" xfId="4" applyNumberFormat="1"/>
    <xf numFmtId="43" fontId="1" fillId="0" borderId="0" xfId="6" applyFont="1"/>
    <xf numFmtId="0" fontId="2" fillId="4" borderId="2" xfId="17" applyFont="1" applyFill="1" applyBorder="1"/>
    <xf numFmtId="0" fontId="1" fillId="0" borderId="0" xfId="17"/>
    <xf numFmtId="0" fontId="0" fillId="0" borderId="0" xfId="17" applyFont="1"/>
    <xf numFmtId="14" fontId="1" fillId="0" borderId="0" xfId="17" applyNumberFormat="1"/>
    <xf numFmtId="0" fontId="20" fillId="0" borderId="0" xfId="17" applyFont="1" applyAlignment="1">
      <alignment horizontal="left"/>
    </xf>
    <xf numFmtId="2" fontId="1" fillId="0" borderId="0" xfId="17" applyNumberFormat="1"/>
    <xf numFmtId="43" fontId="1" fillId="0" borderId="0" xfId="1"/>
    <xf numFmtId="43" fontId="1" fillId="0" borderId="0" xfId="17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2" borderId="0" xfId="0" applyFill="1" applyProtection="1"/>
    <xf numFmtId="0" fontId="1" fillId="0" borderId="0" xfId="33"/>
    <xf numFmtId="0" fontId="2" fillId="0" borderId="0" xfId="33" applyFont="1"/>
    <xf numFmtId="14" fontId="1" fillId="0" borderId="0" xfId="33" applyNumberFormat="1"/>
    <xf numFmtId="1" fontId="1" fillId="0" borderId="0" xfId="33" applyNumberFormat="1"/>
    <xf numFmtId="0" fontId="21" fillId="4" borderId="2" xfId="0" applyFont="1" applyFill="1" applyBorder="1"/>
    <xf numFmtId="0" fontId="21" fillId="4" borderId="5" xfId="0" applyFont="1" applyFill="1" applyBorder="1"/>
    <xf numFmtId="0" fontId="21" fillId="0" borderId="2" xfId="0" applyFont="1" applyBorder="1" applyAlignment="1">
      <alignment horizontal="right"/>
    </xf>
    <xf numFmtId="167" fontId="21" fillId="0" borderId="2" xfId="1" applyNumberFormat="1" applyFont="1" applyBorder="1"/>
    <xf numFmtId="167" fontId="0" fillId="2" borderId="0" xfId="0" applyNumberFormat="1" applyFill="1"/>
    <xf numFmtId="167" fontId="0" fillId="0" borderId="0" xfId="0" applyNumberFormat="1"/>
    <xf numFmtId="0" fontId="21" fillId="0" borderId="2" xfId="0" applyFont="1" applyFill="1" applyBorder="1" applyAlignment="1">
      <alignment horizontal="right"/>
    </xf>
    <xf numFmtId="167" fontId="22" fillId="2" borderId="2" xfId="0" applyNumberFormat="1" applyFont="1" applyFill="1" applyBorder="1"/>
    <xf numFmtId="167" fontId="0" fillId="3" borderId="0" xfId="0" applyNumberFormat="1" applyFill="1"/>
  </cellXfs>
  <cellStyles count="34">
    <cellStyle name="Comma 2" xfId="7"/>
    <cellStyle name="Comma 2 2" xfId="8"/>
    <cellStyle name="Comma 3" xfId="9"/>
    <cellStyle name="Currency 2" xfId="10"/>
    <cellStyle name="Currency 3" xfId="11"/>
    <cellStyle name="Köprü 2" xfId="12"/>
    <cellStyle name="Label" xfId="13"/>
    <cellStyle name="Normal" xfId="0" builtinId="0"/>
    <cellStyle name="Normal 10" xfId="14"/>
    <cellStyle name="Normal 11" xfId="15"/>
    <cellStyle name="Normal 12" xfId="16"/>
    <cellStyle name="Normal 13" xfId="4"/>
    <cellStyle name="Normal 14" xfId="17"/>
    <cellStyle name="Normal 15" xfId="33"/>
    <cellStyle name="Normal 2" xfId="5"/>
    <cellStyle name="Normal 2 2" xfId="18"/>
    <cellStyle name="Normal 3" xfId="19"/>
    <cellStyle name="Normal 4" xfId="20"/>
    <cellStyle name="Normal 5" xfId="21"/>
    <cellStyle name="Normal 6" xfId="22"/>
    <cellStyle name="Normal 7" xfId="23"/>
    <cellStyle name="Normal 8" xfId="24"/>
    <cellStyle name="Normal 9" xfId="25"/>
    <cellStyle name="Normal_URN 0001" xfId="2"/>
    <cellStyle name="Normal_URN 0002" xfId="3"/>
    <cellStyle name="PartNo" xfId="26"/>
    <cellStyle name="Percent 2" xfId="27"/>
    <cellStyle name="Profile" xfId="28"/>
    <cellStyle name="Virgül" xfId="1" builtinId="3"/>
    <cellStyle name="Virgül 2" xfId="6"/>
    <cellStyle name="Virgül 3" xfId="29"/>
    <cellStyle name="Virgül 4" xfId="30"/>
    <cellStyle name="Virgül 5" xfId="31"/>
    <cellStyle name="Yüzde 2" xfId="32"/>
  </cellStyles>
  <dxfs count="6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552915</xdr:colOff>
      <xdr:row>0</xdr:row>
      <xdr:rowOff>102219</xdr:rowOff>
    </xdr:from>
    <xdr:to>
      <xdr:col>11</xdr:col>
      <xdr:colOff>436524</xdr:colOff>
      <xdr:row>8</xdr:row>
      <xdr:rowOff>111744</xdr:rowOff>
    </xdr:to>
    <xdr:sp macro="" textlink="">
      <xdr:nvSpPr>
        <xdr:cNvPr id="2" name="Oval 1"/>
        <xdr:cNvSpPr/>
      </xdr:nvSpPr>
      <xdr:spPr>
        <a:xfrm>
          <a:off x="3136281" y="102219"/>
          <a:ext cx="4752975" cy="1533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/>
            <a:t>Reçetelerin olduğu sayfalara link ekleyiniz</a:t>
          </a:r>
          <a:r>
            <a:rPr lang="tr-TR" sz="2000" baseline="0"/>
            <a:t>.</a:t>
          </a:r>
          <a:endParaRPr lang="tr-TR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152400</xdr:rowOff>
    </xdr:from>
    <xdr:to>
      <xdr:col>4</xdr:col>
      <xdr:colOff>304800</xdr:colOff>
      <xdr:row>33</xdr:row>
      <xdr:rowOff>161925</xdr:rowOff>
    </xdr:to>
    <xdr:sp macro="" textlink="">
      <xdr:nvSpPr>
        <xdr:cNvPr id="2" name="Oval 1"/>
        <xdr:cNvSpPr/>
      </xdr:nvSpPr>
      <xdr:spPr>
        <a:xfrm>
          <a:off x="933450" y="5295900"/>
          <a:ext cx="5038725" cy="1533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/>
            <a:t>URN</a:t>
          </a:r>
          <a:r>
            <a:rPr lang="tr-TR" sz="2000" baseline="0"/>
            <a:t> 0001</a:t>
          </a:r>
          <a:r>
            <a:rPr lang="tr-TR" sz="2000"/>
            <a:t> Sayfasında Yer Alan üretim  sürecine</a:t>
          </a:r>
          <a:r>
            <a:rPr lang="tr-TR" sz="2000" baseline="0"/>
            <a:t> ait şemayı bu ürün reçetesi için uygulayınız.</a:t>
          </a:r>
          <a:endParaRPr lang="tr-T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666751</xdr:colOff>
          <xdr:row>0</xdr:row>
          <xdr:rowOff>180975</xdr:rowOff>
        </xdr:from>
        <xdr:to>
          <xdr:col>12</xdr:col>
          <xdr:colOff>95251</xdr:colOff>
          <xdr:row>1</xdr:row>
          <xdr:rowOff>209549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0</xdr:rowOff>
        </xdr:from>
        <xdr:to>
          <xdr:col>14</xdr:col>
          <xdr:colOff>485775</xdr:colOff>
          <xdr:row>14</xdr:row>
          <xdr:rowOff>9525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yg_d03_butce_orne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tce_Ozet"/>
      <sheetName val="Butce_Detay"/>
      <sheetName val="Sayfa3"/>
    </sheetNames>
    <sheetDataSet>
      <sheetData sheetId="0" refreshError="1"/>
      <sheetData sheetId="1">
        <row r="1">
          <cell r="B1" t="str">
            <v>Ay</v>
          </cell>
          <cell r="C1" t="str">
            <v>Kategori</v>
          </cell>
          <cell r="D1" t="str">
            <v>Tutar</v>
          </cell>
        </row>
        <row r="2">
          <cell r="B2">
            <v>1</v>
          </cell>
          <cell r="C2" t="str">
            <v>Reklam</v>
          </cell>
          <cell r="D2">
            <v>500</v>
          </cell>
        </row>
        <row r="3">
          <cell r="B3">
            <v>1</v>
          </cell>
          <cell r="C3" t="str">
            <v>Reklam</v>
          </cell>
          <cell r="D3">
            <v>900</v>
          </cell>
        </row>
        <row r="4">
          <cell r="B4">
            <v>2</v>
          </cell>
          <cell r="C4" t="str">
            <v>Reklam</v>
          </cell>
          <cell r="D4">
            <v>700</v>
          </cell>
        </row>
        <row r="5">
          <cell r="B5">
            <v>1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1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C11"/>
  <sheetViews>
    <sheetView tabSelected="1" zoomScale="205" zoomScaleNormal="205" workbookViewId="0">
      <selection activeCell="A2" sqref="A2"/>
    </sheetView>
  </sheetViews>
  <sheetFormatPr defaultRowHeight="15"/>
  <cols>
    <col min="1" max="1" width="10.28515625" bestFit="1" customWidth="1"/>
    <col min="2" max="2" width="18" bestFit="1" customWidth="1"/>
    <col min="3" max="3" width="10.42578125" bestFit="1" customWidth="1"/>
  </cols>
  <sheetData>
    <row r="1" spans="1:3">
      <c r="A1" t="s">
        <v>0</v>
      </c>
      <c r="B1" t="s">
        <v>11</v>
      </c>
      <c r="C1" t="s">
        <v>22</v>
      </c>
    </row>
    <row r="2" spans="1:3">
      <c r="A2" t="s">
        <v>1</v>
      </c>
      <c r="B2" t="s">
        <v>12</v>
      </c>
      <c r="C2">
        <v>409</v>
      </c>
    </row>
    <row r="3" spans="1:3">
      <c r="A3" t="s">
        <v>2</v>
      </c>
      <c r="B3" t="s">
        <v>13</v>
      </c>
      <c r="C3">
        <v>314</v>
      </c>
    </row>
    <row r="4" spans="1:3">
      <c r="A4" t="s">
        <v>3</v>
      </c>
      <c r="B4" t="s">
        <v>14</v>
      </c>
      <c r="C4">
        <v>476</v>
      </c>
    </row>
    <row r="5" spans="1:3">
      <c r="A5" t="s">
        <v>4</v>
      </c>
      <c r="B5" t="s">
        <v>15</v>
      </c>
      <c r="C5">
        <v>467</v>
      </c>
    </row>
    <row r="6" spans="1:3">
      <c r="A6" t="s">
        <v>5</v>
      </c>
      <c r="B6" t="s">
        <v>16</v>
      </c>
      <c r="C6">
        <v>323</v>
      </c>
    </row>
    <row r="7" spans="1:3">
      <c r="A7" t="s">
        <v>6</v>
      </c>
      <c r="B7" t="s">
        <v>17</v>
      </c>
      <c r="C7">
        <v>353</v>
      </c>
    </row>
    <row r="8" spans="1:3">
      <c r="A8" t="s">
        <v>7</v>
      </c>
      <c r="B8" t="s">
        <v>18</v>
      </c>
      <c r="C8">
        <v>265</v>
      </c>
    </row>
    <row r="9" spans="1:3">
      <c r="A9" t="s">
        <v>8</v>
      </c>
      <c r="B9" t="s">
        <v>19</v>
      </c>
      <c r="C9">
        <v>269</v>
      </c>
    </row>
    <row r="10" spans="1:3">
      <c r="A10" t="s">
        <v>9</v>
      </c>
      <c r="B10" t="s">
        <v>20</v>
      </c>
      <c r="C10">
        <v>305</v>
      </c>
    </row>
    <row r="11" spans="1:3">
      <c r="A11" t="s">
        <v>10</v>
      </c>
      <c r="B11" t="s">
        <v>21</v>
      </c>
      <c r="C11">
        <v>383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X14"/>
  <sheetViews>
    <sheetView zoomScaleNormal="100" workbookViewId="0">
      <selection activeCell="C17" sqref="C17"/>
    </sheetView>
  </sheetViews>
  <sheetFormatPr defaultRowHeight="15"/>
  <cols>
    <col min="1" max="1" width="10.28515625" bestFit="1" customWidth="1"/>
    <col min="2" max="2" width="24.140625" customWidth="1"/>
    <col min="3" max="3" width="14.28515625" bestFit="1" customWidth="1"/>
    <col min="4" max="4" width="7.5703125" bestFit="1" customWidth="1"/>
    <col min="5" max="5" width="20.140625" bestFit="1" customWidth="1"/>
    <col min="6" max="6" width="21.85546875" bestFit="1" customWidth="1"/>
    <col min="8" max="24" width="10.5703125" bestFit="1" customWidth="1"/>
  </cols>
  <sheetData>
    <row r="1" spans="1:24">
      <c r="A1" s="3" t="s">
        <v>0</v>
      </c>
      <c r="B1" s="4" t="s">
        <v>1</v>
      </c>
      <c r="C1" s="3" t="s">
        <v>36</v>
      </c>
      <c r="D1" s="3"/>
      <c r="E1">
        <v>100</v>
      </c>
    </row>
    <row r="2" spans="1:24">
      <c r="A2" s="3"/>
      <c r="B2" s="4" t="str">
        <f>VLOOKUP(B1,Urun_Listesi!A:B,2,FALSE)</f>
        <v>Ürün Tanımlama 1</v>
      </c>
      <c r="C2" s="3" t="s">
        <v>37</v>
      </c>
      <c r="D2" s="3"/>
      <c r="E2" s="7">
        <v>43902.354166666664</v>
      </c>
      <c r="H2" s="6">
        <f>E2</f>
        <v>43902.354166666664</v>
      </c>
      <c r="I2" s="6">
        <f>H2+1</f>
        <v>43903.354166666664</v>
      </c>
      <c r="J2" s="6">
        <f t="shared" ref="J2:R2" si="0">I2+1</f>
        <v>43904.354166666664</v>
      </c>
      <c r="K2" s="6">
        <f t="shared" si="0"/>
        <v>43905.354166666664</v>
      </c>
      <c r="L2" s="6">
        <f t="shared" si="0"/>
        <v>43906.354166666664</v>
      </c>
      <c r="M2" s="6">
        <f t="shared" si="0"/>
        <v>43907.354166666664</v>
      </c>
      <c r="N2" s="6">
        <f t="shared" si="0"/>
        <v>43908.354166666664</v>
      </c>
      <c r="O2" s="6">
        <f t="shared" si="0"/>
        <v>43909.354166666664</v>
      </c>
      <c r="P2" s="6">
        <f t="shared" si="0"/>
        <v>43910.354166666664</v>
      </c>
      <c r="Q2" s="6">
        <f t="shared" si="0"/>
        <v>43911.354166666664</v>
      </c>
      <c r="R2" s="6">
        <f t="shared" si="0"/>
        <v>43912.354166666664</v>
      </c>
      <c r="S2" s="6">
        <f t="shared" ref="S2:X2" si="1">R2+1</f>
        <v>43913.354166666664</v>
      </c>
      <c r="T2" s="6">
        <f t="shared" si="1"/>
        <v>43914.354166666664</v>
      </c>
      <c r="U2" s="6">
        <f t="shared" si="1"/>
        <v>43915.354166666664</v>
      </c>
      <c r="V2" s="6">
        <f t="shared" si="1"/>
        <v>43916.354166666664</v>
      </c>
      <c r="W2" s="6">
        <f t="shared" si="1"/>
        <v>43917.354166666664</v>
      </c>
      <c r="X2" s="6">
        <f t="shared" si="1"/>
        <v>43918.354166666664</v>
      </c>
    </row>
    <row r="3" spans="1:24">
      <c r="A3" s="3"/>
      <c r="B3" s="4"/>
      <c r="C3" s="3"/>
      <c r="D3" s="3"/>
      <c r="H3">
        <f>MONTH(H2)</f>
        <v>3</v>
      </c>
      <c r="I3">
        <f t="shared" ref="I3:R3" si="2">MONTH(I2)</f>
        <v>3</v>
      </c>
      <c r="J3">
        <f t="shared" si="2"/>
        <v>3</v>
      </c>
      <c r="K3">
        <f t="shared" si="2"/>
        <v>3</v>
      </c>
      <c r="L3">
        <f t="shared" si="2"/>
        <v>3</v>
      </c>
      <c r="M3">
        <f t="shared" si="2"/>
        <v>3</v>
      </c>
      <c r="N3">
        <f t="shared" si="2"/>
        <v>3</v>
      </c>
      <c r="O3">
        <f t="shared" si="2"/>
        <v>3</v>
      </c>
      <c r="P3">
        <f t="shared" si="2"/>
        <v>3</v>
      </c>
      <c r="Q3">
        <f t="shared" si="2"/>
        <v>3</v>
      </c>
      <c r="R3">
        <f t="shared" si="2"/>
        <v>3</v>
      </c>
      <c r="S3">
        <f t="shared" ref="S3" si="3">MONTH(S2)</f>
        <v>3</v>
      </c>
      <c r="T3">
        <f t="shared" ref="T3" si="4">MONTH(T2)</f>
        <v>3</v>
      </c>
      <c r="U3">
        <f t="shared" ref="U3" si="5">MONTH(U2)</f>
        <v>3</v>
      </c>
      <c r="V3">
        <f t="shared" ref="V3" si="6">MONTH(V2)</f>
        <v>3</v>
      </c>
      <c r="W3">
        <f t="shared" ref="W3" si="7">MONTH(W2)</f>
        <v>3</v>
      </c>
      <c r="X3">
        <f t="shared" ref="X3" si="8">MONTH(X2)</f>
        <v>3</v>
      </c>
    </row>
    <row r="4" spans="1:24">
      <c r="A4" s="3" t="s">
        <v>35</v>
      </c>
      <c r="B4" s="3" t="s">
        <v>23</v>
      </c>
      <c r="C4" s="3" t="s">
        <v>24</v>
      </c>
      <c r="D4" s="3" t="s">
        <v>39</v>
      </c>
      <c r="E4" s="3" t="s">
        <v>37</v>
      </c>
      <c r="F4" s="3" t="s">
        <v>38</v>
      </c>
      <c r="H4">
        <f>DAY(H2)</f>
        <v>12</v>
      </c>
      <c r="I4">
        <f t="shared" ref="I4:R4" si="9">DAY(I2)</f>
        <v>13</v>
      </c>
      <c r="J4">
        <f t="shared" si="9"/>
        <v>14</v>
      </c>
      <c r="K4">
        <f t="shared" si="9"/>
        <v>15</v>
      </c>
      <c r="L4">
        <f t="shared" si="9"/>
        <v>16</v>
      </c>
      <c r="M4">
        <f t="shared" si="9"/>
        <v>17</v>
      </c>
      <c r="N4">
        <f t="shared" si="9"/>
        <v>18</v>
      </c>
      <c r="O4">
        <f t="shared" si="9"/>
        <v>19</v>
      </c>
      <c r="P4">
        <f t="shared" si="9"/>
        <v>20</v>
      </c>
      <c r="Q4">
        <f t="shared" si="9"/>
        <v>21</v>
      </c>
      <c r="R4">
        <f t="shared" si="9"/>
        <v>22</v>
      </c>
      <c r="S4">
        <f t="shared" ref="S4:X4" si="10">DAY(S2)</f>
        <v>23</v>
      </c>
      <c r="T4">
        <f t="shared" si="10"/>
        <v>24</v>
      </c>
      <c r="U4">
        <f t="shared" si="10"/>
        <v>25</v>
      </c>
      <c r="V4">
        <f t="shared" si="10"/>
        <v>26</v>
      </c>
      <c r="W4">
        <f t="shared" si="10"/>
        <v>27</v>
      </c>
      <c r="X4">
        <f t="shared" si="10"/>
        <v>28</v>
      </c>
    </row>
    <row r="5" spans="1:24">
      <c r="A5" s="1">
        <v>1</v>
      </c>
      <c r="B5" s="2" t="s">
        <v>25</v>
      </c>
      <c r="C5" s="5">
        <v>1</v>
      </c>
      <c r="D5" s="5">
        <v>0</v>
      </c>
      <c r="E5" s="7">
        <f>E2</f>
        <v>43902.354166666664</v>
      </c>
      <c r="F5" s="7">
        <f>E5+IF(D5=1,C5,$E$1*C5)/60/8.5</f>
        <v>43902.550245098035</v>
      </c>
      <c r="H5" t="str">
        <f>IF(AND(H$2&gt;=$E5,H$2&lt;$F5),"X","")</f>
        <v>X</v>
      </c>
      <c r="I5" t="str">
        <f t="shared" ref="I5:X14" si="11">IF(AND(I$2&gt;=$E5,I$2&lt;=$F5),"X","")</f>
        <v/>
      </c>
      <c r="J5" t="str">
        <f t="shared" si="11"/>
        <v/>
      </c>
      <c r="K5" t="str">
        <f t="shared" si="11"/>
        <v/>
      </c>
      <c r="L5" t="str">
        <f t="shared" si="11"/>
        <v/>
      </c>
      <c r="M5" t="str">
        <f t="shared" si="11"/>
        <v/>
      </c>
      <c r="N5" t="str">
        <f t="shared" si="11"/>
        <v/>
      </c>
      <c r="O5" t="str">
        <f t="shared" si="11"/>
        <v/>
      </c>
      <c r="P5" t="str">
        <f t="shared" si="11"/>
        <v/>
      </c>
      <c r="Q5" t="str">
        <f>IF(AND(Q$2&gt;=$E5,Q$2&lt;=$F5),"X","")</f>
        <v/>
      </c>
      <c r="R5" t="str">
        <f t="shared" si="11"/>
        <v/>
      </c>
      <c r="S5" t="str">
        <f t="shared" si="11"/>
        <v/>
      </c>
      <c r="T5" t="str">
        <f t="shared" si="11"/>
        <v/>
      </c>
      <c r="U5" t="str">
        <f t="shared" si="11"/>
        <v/>
      </c>
      <c r="V5" t="str">
        <f t="shared" si="11"/>
        <v/>
      </c>
      <c r="W5" t="str">
        <f t="shared" si="11"/>
        <v/>
      </c>
      <c r="X5" t="str">
        <f t="shared" si="11"/>
        <v/>
      </c>
    </row>
    <row r="6" spans="1:24">
      <c r="A6" s="1">
        <v>2</v>
      </c>
      <c r="B6" s="2" t="s">
        <v>26</v>
      </c>
      <c r="C6" s="5">
        <v>1.6</v>
      </c>
      <c r="D6" s="5">
        <v>0</v>
      </c>
      <c r="E6" s="7">
        <f>F5</f>
        <v>43902.550245098035</v>
      </c>
      <c r="F6" s="7">
        <f t="shared" ref="F6:F14" si="12">E6+IF(D6=1,C6,$E$1*C6)/60/8.5</f>
        <v>43902.863970588231</v>
      </c>
      <c r="H6" t="str">
        <f t="shared" ref="H6:T14" si="13">IF(AND(H$2&gt;=$E6,H$2&lt;=$F6),"X","")</f>
        <v/>
      </c>
      <c r="I6" t="str">
        <f t="shared" si="11"/>
        <v/>
      </c>
      <c r="J6" t="str">
        <f t="shared" si="11"/>
        <v/>
      </c>
      <c r="K6" t="str">
        <f t="shared" si="11"/>
        <v/>
      </c>
      <c r="L6" t="str">
        <f t="shared" si="11"/>
        <v/>
      </c>
      <c r="M6" t="str">
        <f t="shared" si="11"/>
        <v/>
      </c>
      <c r="N6" t="str">
        <f t="shared" si="11"/>
        <v/>
      </c>
      <c r="O6" t="str">
        <f t="shared" si="11"/>
        <v/>
      </c>
      <c r="P6" t="str">
        <f t="shared" si="11"/>
        <v/>
      </c>
      <c r="Q6" t="str">
        <f t="shared" si="11"/>
        <v/>
      </c>
      <c r="R6" t="str">
        <f t="shared" si="11"/>
        <v/>
      </c>
      <c r="S6" t="str">
        <f t="shared" si="11"/>
        <v/>
      </c>
      <c r="T6" t="str">
        <f t="shared" si="11"/>
        <v/>
      </c>
      <c r="U6" t="str">
        <f t="shared" si="11"/>
        <v/>
      </c>
      <c r="V6" t="str">
        <f t="shared" si="11"/>
        <v/>
      </c>
      <c r="W6" t="str">
        <f t="shared" si="11"/>
        <v/>
      </c>
      <c r="X6" t="str">
        <f t="shared" si="11"/>
        <v/>
      </c>
    </row>
    <row r="7" spans="1:24">
      <c r="A7" s="1">
        <v>3</v>
      </c>
      <c r="B7" s="2" t="s">
        <v>27</v>
      </c>
      <c r="C7" s="5">
        <v>8</v>
      </c>
      <c r="D7" s="5">
        <v>0</v>
      </c>
      <c r="E7" s="7">
        <f t="shared" ref="E7:E14" si="14">F6</f>
        <v>43902.863970588231</v>
      </c>
      <c r="F7" s="7">
        <f t="shared" si="12"/>
        <v>43904.43259803921</v>
      </c>
      <c r="H7" t="str">
        <f t="shared" si="13"/>
        <v/>
      </c>
      <c r="I7" t="str">
        <f t="shared" si="11"/>
        <v>X</v>
      </c>
      <c r="J7" t="str">
        <f t="shared" si="11"/>
        <v>X</v>
      </c>
      <c r="K7" t="str">
        <f t="shared" si="11"/>
        <v/>
      </c>
      <c r="L7" t="str">
        <f t="shared" si="11"/>
        <v/>
      </c>
      <c r="M7" t="str">
        <f t="shared" si="11"/>
        <v/>
      </c>
      <c r="N7" t="str">
        <f t="shared" si="11"/>
        <v/>
      </c>
      <c r="O7" t="str">
        <f t="shared" si="11"/>
        <v/>
      </c>
      <c r="P7" t="str">
        <f t="shared" si="11"/>
        <v/>
      </c>
      <c r="Q7" t="str">
        <f t="shared" si="11"/>
        <v/>
      </c>
      <c r="R7" t="str">
        <f t="shared" si="11"/>
        <v/>
      </c>
      <c r="S7" t="str">
        <f t="shared" si="11"/>
        <v/>
      </c>
      <c r="T7" t="str">
        <f t="shared" si="11"/>
        <v/>
      </c>
      <c r="U7" t="str">
        <f t="shared" si="11"/>
        <v/>
      </c>
      <c r="V7" t="str">
        <f t="shared" si="11"/>
        <v/>
      </c>
      <c r="W7" t="str">
        <f t="shared" si="11"/>
        <v/>
      </c>
      <c r="X7" t="str">
        <f t="shared" si="11"/>
        <v/>
      </c>
    </row>
    <row r="8" spans="1:24">
      <c r="A8" s="1">
        <v>4</v>
      </c>
      <c r="B8" s="2" t="s">
        <v>28</v>
      </c>
      <c r="C8" s="5">
        <v>9</v>
      </c>
      <c r="D8" s="5">
        <v>0</v>
      </c>
      <c r="E8" s="7">
        <f t="shared" si="14"/>
        <v>43904.43259803921</v>
      </c>
      <c r="F8" s="7">
        <f t="shared" si="12"/>
        <v>43906.197303921559</v>
      </c>
      <c r="H8" t="str">
        <f t="shared" si="13"/>
        <v/>
      </c>
      <c r="I8" t="str">
        <f t="shared" si="11"/>
        <v/>
      </c>
      <c r="J8" t="str">
        <f t="shared" si="11"/>
        <v/>
      </c>
      <c r="K8" t="str">
        <f t="shared" si="11"/>
        <v>X</v>
      </c>
      <c r="L8" t="str">
        <f t="shared" si="11"/>
        <v/>
      </c>
      <c r="M8" t="str">
        <f t="shared" si="11"/>
        <v/>
      </c>
      <c r="N8" t="str">
        <f t="shared" si="11"/>
        <v/>
      </c>
      <c r="O8" t="str">
        <f t="shared" si="11"/>
        <v/>
      </c>
      <c r="P8" t="str">
        <f t="shared" si="11"/>
        <v/>
      </c>
      <c r="Q8" t="str">
        <f t="shared" si="11"/>
        <v/>
      </c>
      <c r="R8" t="str">
        <f t="shared" si="11"/>
        <v/>
      </c>
      <c r="S8" t="str">
        <f t="shared" si="11"/>
        <v/>
      </c>
      <c r="T8" t="str">
        <f t="shared" si="11"/>
        <v/>
      </c>
      <c r="U8" t="str">
        <f t="shared" si="11"/>
        <v/>
      </c>
      <c r="V8" t="str">
        <f t="shared" si="11"/>
        <v/>
      </c>
      <c r="W8" t="str">
        <f t="shared" si="11"/>
        <v/>
      </c>
      <c r="X8" t="str">
        <f t="shared" si="11"/>
        <v/>
      </c>
    </row>
    <row r="9" spans="1:24">
      <c r="A9" s="1">
        <v>5</v>
      </c>
      <c r="B9" s="2" t="s">
        <v>29</v>
      </c>
      <c r="C9" s="5">
        <v>5</v>
      </c>
      <c r="D9" s="5">
        <v>0</v>
      </c>
      <c r="E9" s="7">
        <f t="shared" si="14"/>
        <v>43906.197303921559</v>
      </c>
      <c r="F9" s="7">
        <f t="shared" si="12"/>
        <v>43907.177696078419</v>
      </c>
      <c r="H9" t="str">
        <f t="shared" si="13"/>
        <v/>
      </c>
      <c r="I9" t="str">
        <f t="shared" si="11"/>
        <v/>
      </c>
      <c r="J9" t="str">
        <f t="shared" si="11"/>
        <v/>
      </c>
      <c r="K9" t="str">
        <f t="shared" si="11"/>
        <v/>
      </c>
      <c r="L9" t="str">
        <f t="shared" si="11"/>
        <v>X</v>
      </c>
      <c r="M9" t="str">
        <f t="shared" si="11"/>
        <v/>
      </c>
      <c r="N9" t="str">
        <f t="shared" si="11"/>
        <v/>
      </c>
      <c r="O9" t="str">
        <f t="shared" si="11"/>
        <v/>
      </c>
      <c r="P9" t="str">
        <f t="shared" si="11"/>
        <v/>
      </c>
      <c r="Q9" t="str">
        <f t="shared" si="11"/>
        <v/>
      </c>
      <c r="R9" t="str">
        <f t="shared" si="11"/>
        <v/>
      </c>
      <c r="S9" t="str">
        <f t="shared" si="11"/>
        <v/>
      </c>
      <c r="T9" t="str">
        <f t="shared" si="11"/>
        <v/>
      </c>
      <c r="U9" t="str">
        <f t="shared" si="11"/>
        <v/>
      </c>
      <c r="V9" t="str">
        <f t="shared" si="11"/>
        <v/>
      </c>
      <c r="W9" t="str">
        <f t="shared" si="11"/>
        <v/>
      </c>
      <c r="X9" t="str">
        <f t="shared" si="11"/>
        <v/>
      </c>
    </row>
    <row r="10" spans="1:24">
      <c r="A10" s="1">
        <v>6</v>
      </c>
      <c r="B10" s="2" t="s">
        <v>30</v>
      </c>
      <c r="C10" s="5">
        <v>0.02</v>
      </c>
      <c r="D10" s="5">
        <v>0</v>
      </c>
      <c r="E10" s="7">
        <f t="shared" si="14"/>
        <v>43907.177696078419</v>
      </c>
      <c r="F10" s="7">
        <f t="shared" si="12"/>
        <v>43907.181617647046</v>
      </c>
      <c r="H10" t="str">
        <f t="shared" si="13"/>
        <v/>
      </c>
      <c r="I10" t="str">
        <f t="shared" si="11"/>
        <v/>
      </c>
      <c r="J10" t="str">
        <f t="shared" si="11"/>
        <v/>
      </c>
      <c r="K10" t="str">
        <f t="shared" si="11"/>
        <v/>
      </c>
      <c r="L10" t="str">
        <f t="shared" si="11"/>
        <v/>
      </c>
      <c r="M10" t="str">
        <f t="shared" si="11"/>
        <v/>
      </c>
      <c r="N10" t="str">
        <f t="shared" si="11"/>
        <v/>
      </c>
      <c r="O10" t="str">
        <f t="shared" si="11"/>
        <v/>
      </c>
      <c r="P10" t="str">
        <f t="shared" si="11"/>
        <v/>
      </c>
      <c r="Q10" t="str">
        <f t="shared" si="11"/>
        <v/>
      </c>
      <c r="R10" t="str">
        <f t="shared" si="11"/>
        <v/>
      </c>
      <c r="S10" t="str">
        <f t="shared" si="11"/>
        <v/>
      </c>
      <c r="T10" t="str">
        <f t="shared" si="11"/>
        <v/>
      </c>
      <c r="U10" t="str">
        <f t="shared" si="11"/>
        <v/>
      </c>
      <c r="V10" t="str">
        <f t="shared" si="11"/>
        <v/>
      </c>
      <c r="W10" t="str">
        <f t="shared" si="11"/>
        <v/>
      </c>
      <c r="X10" t="str">
        <f t="shared" si="11"/>
        <v/>
      </c>
    </row>
    <row r="11" spans="1:24">
      <c r="A11" s="1">
        <v>7</v>
      </c>
      <c r="B11" s="2" t="s">
        <v>31</v>
      </c>
      <c r="C11" s="5">
        <v>540</v>
      </c>
      <c r="D11" s="5">
        <v>1</v>
      </c>
      <c r="E11" s="7">
        <f t="shared" si="14"/>
        <v>43907.181617647046</v>
      </c>
      <c r="F11" s="7">
        <f t="shared" si="12"/>
        <v>43908.240441176458</v>
      </c>
      <c r="H11" t="str">
        <f t="shared" si="13"/>
        <v/>
      </c>
      <c r="I11" t="str">
        <f t="shared" si="11"/>
        <v/>
      </c>
      <c r="J11" t="str">
        <f t="shared" si="11"/>
        <v/>
      </c>
      <c r="K11" t="str">
        <f t="shared" si="11"/>
        <v/>
      </c>
      <c r="L11" t="str">
        <f t="shared" si="11"/>
        <v/>
      </c>
      <c r="M11" t="str">
        <f t="shared" si="11"/>
        <v>X</v>
      </c>
      <c r="N11" t="str">
        <f t="shared" si="11"/>
        <v/>
      </c>
      <c r="O11" t="str">
        <f t="shared" si="11"/>
        <v/>
      </c>
      <c r="P11" t="str">
        <f t="shared" si="11"/>
        <v/>
      </c>
      <c r="Q11" t="str">
        <f t="shared" si="11"/>
        <v/>
      </c>
      <c r="R11" t="str">
        <f t="shared" si="11"/>
        <v/>
      </c>
      <c r="S11" t="str">
        <f t="shared" si="11"/>
        <v/>
      </c>
      <c r="T11" t="str">
        <f t="shared" si="11"/>
        <v/>
      </c>
      <c r="U11" t="str">
        <f t="shared" si="11"/>
        <v/>
      </c>
      <c r="V11" t="str">
        <f t="shared" si="11"/>
        <v/>
      </c>
      <c r="W11" t="str">
        <f t="shared" si="11"/>
        <v/>
      </c>
      <c r="X11" t="str">
        <f t="shared" si="11"/>
        <v/>
      </c>
    </row>
    <row r="12" spans="1:24">
      <c r="A12" s="1">
        <v>8</v>
      </c>
      <c r="B12" s="2" t="s">
        <v>32</v>
      </c>
      <c r="C12" s="5">
        <v>0.1</v>
      </c>
      <c r="D12" s="5">
        <v>0</v>
      </c>
      <c r="E12" s="7">
        <f t="shared" si="14"/>
        <v>43908.240441176458</v>
      </c>
      <c r="F12" s="7">
        <f t="shared" si="12"/>
        <v>43908.260049019598</v>
      </c>
      <c r="H12" t="str">
        <f t="shared" si="13"/>
        <v/>
      </c>
      <c r="I12" t="str">
        <f t="shared" si="11"/>
        <v/>
      </c>
      <c r="J12" t="str">
        <f t="shared" si="11"/>
        <v/>
      </c>
      <c r="K12" t="str">
        <f t="shared" si="11"/>
        <v/>
      </c>
      <c r="L12" t="str">
        <f t="shared" si="11"/>
        <v/>
      </c>
      <c r="M12" t="str">
        <f t="shared" si="11"/>
        <v/>
      </c>
      <c r="N12" t="str">
        <f t="shared" si="11"/>
        <v/>
      </c>
      <c r="O12" t="str">
        <f t="shared" si="11"/>
        <v/>
      </c>
      <c r="P12" t="str">
        <f t="shared" si="11"/>
        <v/>
      </c>
      <c r="Q12" t="str">
        <f t="shared" si="11"/>
        <v/>
      </c>
      <c r="R12" t="str">
        <f t="shared" si="11"/>
        <v/>
      </c>
      <c r="S12" t="str">
        <f t="shared" si="11"/>
        <v/>
      </c>
      <c r="T12" t="str">
        <f t="shared" si="11"/>
        <v/>
      </c>
      <c r="U12" t="str">
        <f t="shared" si="11"/>
        <v/>
      </c>
      <c r="V12" t="str">
        <f t="shared" si="11"/>
        <v/>
      </c>
      <c r="W12" t="str">
        <f t="shared" si="11"/>
        <v/>
      </c>
      <c r="X12" t="str">
        <f t="shared" si="11"/>
        <v/>
      </c>
    </row>
    <row r="13" spans="1:24">
      <c r="A13" s="1">
        <v>9</v>
      </c>
      <c r="B13" s="2" t="s">
        <v>33</v>
      </c>
      <c r="C13" s="5">
        <v>540</v>
      </c>
      <c r="D13" s="5">
        <v>1</v>
      </c>
      <c r="E13" s="7">
        <f t="shared" si="14"/>
        <v>43908.260049019598</v>
      </c>
      <c r="F13" s="7">
        <f t="shared" si="12"/>
        <v>43909.318872549011</v>
      </c>
      <c r="H13" t="str">
        <f t="shared" si="13"/>
        <v/>
      </c>
      <c r="I13" t="str">
        <f t="shared" si="11"/>
        <v/>
      </c>
      <c r="J13" t="str">
        <f t="shared" si="11"/>
        <v/>
      </c>
      <c r="K13" t="str">
        <f t="shared" si="11"/>
        <v/>
      </c>
      <c r="L13" t="str">
        <f t="shared" si="11"/>
        <v/>
      </c>
      <c r="M13" t="str">
        <f t="shared" si="11"/>
        <v/>
      </c>
      <c r="N13" t="str">
        <f t="shared" si="11"/>
        <v>X</v>
      </c>
      <c r="O13" t="str">
        <f t="shared" si="11"/>
        <v/>
      </c>
      <c r="P13" t="str">
        <f t="shared" si="11"/>
        <v/>
      </c>
      <c r="Q13" t="str">
        <f t="shared" si="11"/>
        <v/>
      </c>
      <c r="R13" t="str">
        <f t="shared" si="11"/>
        <v/>
      </c>
      <c r="S13" t="str">
        <f t="shared" si="11"/>
        <v/>
      </c>
      <c r="T13" t="str">
        <f t="shared" si="11"/>
        <v/>
      </c>
      <c r="U13" t="str">
        <f t="shared" si="11"/>
        <v/>
      </c>
      <c r="V13" t="str">
        <f t="shared" si="11"/>
        <v/>
      </c>
      <c r="W13" t="str">
        <f t="shared" si="11"/>
        <v/>
      </c>
      <c r="X13" t="str">
        <f t="shared" si="11"/>
        <v/>
      </c>
    </row>
    <row r="14" spans="1:24">
      <c r="A14" s="1">
        <v>10</v>
      </c>
      <c r="B14" s="2" t="s">
        <v>34</v>
      </c>
      <c r="C14" s="5">
        <v>9</v>
      </c>
      <c r="D14" s="5">
        <v>0</v>
      </c>
      <c r="E14" s="7">
        <f t="shared" si="14"/>
        <v>43909.318872549011</v>
      </c>
      <c r="F14" s="7">
        <f t="shared" si="12"/>
        <v>43911.08357843136</v>
      </c>
      <c r="H14" t="str">
        <f t="shared" si="13"/>
        <v/>
      </c>
      <c r="I14" t="str">
        <f t="shared" si="13"/>
        <v/>
      </c>
      <c r="J14" t="str">
        <f t="shared" si="13"/>
        <v/>
      </c>
      <c r="K14" t="str">
        <f t="shared" si="13"/>
        <v/>
      </c>
      <c r="L14" t="str">
        <f t="shared" si="13"/>
        <v/>
      </c>
      <c r="M14" t="str">
        <f t="shared" si="13"/>
        <v/>
      </c>
      <c r="N14" t="str">
        <f t="shared" si="13"/>
        <v/>
      </c>
      <c r="O14" t="str">
        <f t="shared" si="13"/>
        <v>X</v>
      </c>
      <c r="P14" t="str">
        <f t="shared" si="13"/>
        <v>X</v>
      </c>
      <c r="Q14" t="str">
        <f t="shared" si="13"/>
        <v/>
      </c>
      <c r="R14" t="str">
        <f t="shared" si="13"/>
        <v/>
      </c>
      <c r="S14" t="str">
        <f t="shared" si="13"/>
        <v/>
      </c>
      <c r="T14" t="str">
        <f t="shared" si="13"/>
        <v/>
      </c>
      <c r="U14" t="str">
        <f t="shared" si="11"/>
        <v/>
      </c>
      <c r="V14" t="str">
        <f t="shared" si="11"/>
        <v/>
      </c>
      <c r="W14" t="str">
        <f t="shared" si="11"/>
        <v/>
      </c>
      <c r="X14" t="str">
        <f t="shared" si="11"/>
        <v/>
      </c>
    </row>
  </sheetData>
  <dataConsolidate/>
  <conditionalFormatting sqref="H5:X14">
    <cfRule type="cellIs" dxfId="5" priority="1" operator="equal">
      <formula>"X"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B18"/>
  <sheetViews>
    <sheetView workbookViewId="0">
      <selection activeCell="E8" sqref="E8"/>
    </sheetView>
  </sheetViews>
  <sheetFormatPr defaultRowHeight="15"/>
  <cols>
    <col min="1" max="1" width="14" bestFit="1" customWidth="1"/>
    <col min="2" max="2" width="34.42578125" customWidth="1"/>
  </cols>
  <sheetData>
    <row r="1" spans="1:2">
      <c r="A1" s="3" t="s">
        <v>35</v>
      </c>
      <c r="B1" s="3" t="s">
        <v>23</v>
      </c>
    </row>
    <row r="2" spans="1:2">
      <c r="A2" s="8">
        <v>1</v>
      </c>
      <c r="B2" s="9" t="s">
        <v>25</v>
      </c>
    </row>
    <row r="3" spans="1:2">
      <c r="A3" s="8">
        <v>2</v>
      </c>
      <c r="B3" s="9" t="s">
        <v>26</v>
      </c>
    </row>
    <row r="4" spans="1:2">
      <c r="A4" s="8">
        <v>3</v>
      </c>
      <c r="B4" s="9" t="s">
        <v>27</v>
      </c>
    </row>
    <row r="5" spans="1:2">
      <c r="A5" s="8">
        <v>4</v>
      </c>
      <c r="B5" s="9" t="s">
        <v>40</v>
      </c>
    </row>
    <row r="6" spans="1:2">
      <c r="A6" s="8">
        <v>5</v>
      </c>
      <c r="B6" s="9" t="s">
        <v>41</v>
      </c>
    </row>
    <row r="7" spans="1:2">
      <c r="A7" s="8">
        <v>6</v>
      </c>
      <c r="B7" s="9" t="s">
        <v>42</v>
      </c>
    </row>
    <row r="8" spans="1:2">
      <c r="A8" s="8">
        <v>7</v>
      </c>
      <c r="B8" s="9" t="s">
        <v>43</v>
      </c>
    </row>
    <row r="9" spans="1:2">
      <c r="A9" s="8">
        <v>8</v>
      </c>
      <c r="B9" s="9" t="s">
        <v>29</v>
      </c>
    </row>
    <row r="10" spans="1:2">
      <c r="A10" s="8">
        <v>9</v>
      </c>
      <c r="B10" s="9" t="s">
        <v>44</v>
      </c>
    </row>
    <row r="11" spans="1:2">
      <c r="A11" s="8">
        <v>10</v>
      </c>
      <c r="B11" s="9" t="s">
        <v>45</v>
      </c>
    </row>
    <row r="12" spans="1:2">
      <c r="A12" s="8">
        <v>11</v>
      </c>
      <c r="B12" s="9" t="s">
        <v>27</v>
      </c>
    </row>
    <row r="13" spans="1:2">
      <c r="A13" s="8">
        <v>12</v>
      </c>
      <c r="B13" s="9" t="s">
        <v>46</v>
      </c>
    </row>
    <row r="14" spans="1:2">
      <c r="A14" s="8">
        <v>13</v>
      </c>
      <c r="B14" s="9" t="s">
        <v>47</v>
      </c>
    </row>
    <row r="15" spans="1:2">
      <c r="A15" s="8">
        <v>14</v>
      </c>
      <c r="B15" s="9" t="s">
        <v>30</v>
      </c>
    </row>
    <row r="16" spans="1:2">
      <c r="A16" s="8">
        <v>15</v>
      </c>
      <c r="B16" s="9" t="s">
        <v>31</v>
      </c>
    </row>
    <row r="17" spans="1:2">
      <c r="A17" s="8">
        <v>16</v>
      </c>
      <c r="B17" s="9" t="s">
        <v>32</v>
      </c>
    </row>
    <row r="18" spans="1:2">
      <c r="A18" s="8">
        <v>17</v>
      </c>
      <c r="B18" s="9" t="s">
        <v>33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 filterMode="1"/>
  <dimension ref="A1:J37"/>
  <sheetViews>
    <sheetView workbookViewId="0">
      <selection activeCell="L39" sqref="L39"/>
    </sheetView>
  </sheetViews>
  <sheetFormatPr defaultRowHeight="15"/>
  <cols>
    <col min="1" max="1" width="12.140625" style="13" bestFit="1" customWidth="1"/>
    <col min="2" max="2" width="28.28515625" style="13" bestFit="1" customWidth="1"/>
    <col min="3" max="3" width="12.85546875" style="13" bestFit="1" customWidth="1"/>
    <col min="4" max="4" width="13.28515625" style="13" bestFit="1" customWidth="1"/>
    <col min="5" max="5" width="7.28515625" style="13" customWidth="1"/>
    <col min="6" max="6" width="11.42578125" style="13" customWidth="1"/>
    <col min="7" max="7" width="5.28515625" style="13" bestFit="1" customWidth="1"/>
    <col min="8" max="8" width="9.140625" style="13" customWidth="1"/>
    <col min="9" max="9" width="9.5703125" style="13" bestFit="1" customWidth="1"/>
    <col min="10" max="10" width="13.42578125" style="13" customWidth="1"/>
    <col min="11" max="16384" width="9.140625" style="13"/>
  </cols>
  <sheetData>
    <row r="1" spans="1:10">
      <c r="A1" s="10" t="s">
        <v>48</v>
      </c>
      <c r="B1" s="11" t="s">
        <v>49</v>
      </c>
      <c r="C1" s="10" t="s">
        <v>50</v>
      </c>
      <c r="D1" s="10" t="s">
        <v>51</v>
      </c>
      <c r="E1" s="10" t="s">
        <v>52</v>
      </c>
      <c r="F1" s="10" t="s">
        <v>53</v>
      </c>
      <c r="G1" s="10" t="s">
        <v>54</v>
      </c>
      <c r="H1" s="10" t="s">
        <v>55</v>
      </c>
      <c r="I1" s="10" t="s">
        <v>56</v>
      </c>
      <c r="J1" s="12"/>
    </row>
    <row r="2" spans="1:10" ht="16.5" customHeight="1">
      <c r="A2" s="13" t="s">
        <v>57</v>
      </c>
      <c r="B2" s="14" t="s">
        <v>58</v>
      </c>
      <c r="C2" s="13" t="s">
        <v>59</v>
      </c>
      <c r="D2" s="13" t="s">
        <v>60</v>
      </c>
      <c r="E2" s="13" t="s">
        <v>61</v>
      </c>
      <c r="F2" s="13">
        <v>0.01</v>
      </c>
      <c r="G2" s="13">
        <v>10</v>
      </c>
      <c r="H2" s="15">
        <v>1.2</v>
      </c>
      <c r="I2" s="16">
        <f>G2*H2*(1+F2)</f>
        <v>12.120000000000001</v>
      </c>
    </row>
    <row r="3" spans="1:10" ht="17.25" customHeight="1">
      <c r="A3" s="13" t="s">
        <v>62</v>
      </c>
      <c r="B3" s="14" t="s">
        <v>63</v>
      </c>
      <c r="C3" s="13" t="s">
        <v>59</v>
      </c>
      <c r="D3" s="13" t="s">
        <v>60</v>
      </c>
      <c r="E3" s="13" t="s">
        <v>61</v>
      </c>
      <c r="F3" s="13">
        <v>0.08</v>
      </c>
      <c r="G3" s="13">
        <v>18</v>
      </c>
      <c r="H3" s="15">
        <v>1.1000000000000001</v>
      </c>
      <c r="I3" s="16">
        <f t="shared" ref="I3:I37" si="0">G3*H3*(1+F3)</f>
        <v>21.384000000000004</v>
      </c>
    </row>
    <row r="4" spans="1:10">
      <c r="A4" s="13" t="s">
        <v>64</v>
      </c>
      <c r="B4" s="14" t="s">
        <v>65</v>
      </c>
      <c r="C4" s="13" t="s">
        <v>59</v>
      </c>
      <c r="D4" s="13" t="s">
        <v>60</v>
      </c>
      <c r="E4" s="13" t="s">
        <v>61</v>
      </c>
      <c r="F4" s="13">
        <v>0.08</v>
      </c>
      <c r="G4" s="13">
        <v>15</v>
      </c>
      <c r="H4" s="15">
        <v>1.1000000000000001</v>
      </c>
      <c r="I4" s="16">
        <f t="shared" si="0"/>
        <v>17.82</v>
      </c>
    </row>
    <row r="5" spans="1:10">
      <c r="A5" s="13" t="s">
        <v>66</v>
      </c>
      <c r="B5" s="14" t="s">
        <v>67</v>
      </c>
      <c r="C5" s="13" t="s">
        <v>59</v>
      </c>
      <c r="D5" s="13" t="s">
        <v>60</v>
      </c>
      <c r="E5" s="13" t="s">
        <v>61</v>
      </c>
      <c r="F5" s="13">
        <v>0.08</v>
      </c>
      <c r="G5" s="13">
        <v>17</v>
      </c>
      <c r="H5" s="15">
        <v>1.5</v>
      </c>
      <c r="I5" s="16">
        <f t="shared" si="0"/>
        <v>27.540000000000003</v>
      </c>
    </row>
    <row r="6" spans="1:10">
      <c r="A6" s="13" t="s">
        <v>68</v>
      </c>
      <c r="B6" s="14" t="s">
        <v>69</v>
      </c>
      <c r="C6" s="13" t="s">
        <v>59</v>
      </c>
      <c r="D6" s="13" t="s">
        <v>60</v>
      </c>
      <c r="E6" s="13" t="s">
        <v>61</v>
      </c>
      <c r="F6" s="13">
        <v>0.01</v>
      </c>
      <c r="G6" s="13">
        <v>11</v>
      </c>
      <c r="H6" s="15">
        <v>1.5</v>
      </c>
      <c r="I6" s="16">
        <f t="shared" si="0"/>
        <v>16.664999999999999</v>
      </c>
    </row>
    <row r="7" spans="1:10">
      <c r="A7" s="13" t="s">
        <v>70</v>
      </c>
      <c r="B7" s="14" t="s">
        <v>71</v>
      </c>
      <c r="C7" s="13" t="s">
        <v>59</v>
      </c>
      <c r="D7" s="13" t="s">
        <v>60</v>
      </c>
      <c r="E7" s="13" t="s">
        <v>61</v>
      </c>
      <c r="F7" s="13">
        <v>0.08</v>
      </c>
      <c r="G7" s="13">
        <v>2</v>
      </c>
      <c r="H7" s="15">
        <v>1.1000000000000001</v>
      </c>
      <c r="I7" s="16">
        <f t="shared" si="0"/>
        <v>2.3760000000000003</v>
      </c>
    </row>
    <row r="8" spans="1:10">
      <c r="A8" s="13" t="s">
        <v>72</v>
      </c>
      <c r="B8" s="14" t="s">
        <v>73</v>
      </c>
      <c r="C8" s="13" t="s">
        <v>59</v>
      </c>
      <c r="D8" s="13" t="s">
        <v>60</v>
      </c>
      <c r="E8" s="13" t="s">
        <v>61</v>
      </c>
      <c r="F8" s="13">
        <v>0.08</v>
      </c>
      <c r="G8" s="13">
        <v>12</v>
      </c>
      <c r="H8" s="15">
        <v>1.2</v>
      </c>
      <c r="I8" s="16">
        <f t="shared" si="0"/>
        <v>15.552</v>
      </c>
    </row>
    <row r="9" spans="1:10">
      <c r="A9" s="13" t="s">
        <v>74</v>
      </c>
      <c r="B9" s="14" t="s">
        <v>75</v>
      </c>
      <c r="C9" s="13" t="s">
        <v>59</v>
      </c>
      <c r="D9" s="13" t="s">
        <v>60</v>
      </c>
      <c r="E9" s="13" t="s">
        <v>61</v>
      </c>
      <c r="F9" s="13">
        <v>0.08</v>
      </c>
      <c r="G9" s="13">
        <v>8</v>
      </c>
      <c r="H9" s="15">
        <v>1</v>
      </c>
      <c r="I9" s="16">
        <f t="shared" si="0"/>
        <v>8.64</v>
      </c>
    </row>
    <row r="10" spans="1:10">
      <c r="A10" s="13" t="s">
        <v>76</v>
      </c>
      <c r="B10" s="14" t="s">
        <v>77</v>
      </c>
      <c r="C10" s="13" t="s">
        <v>59</v>
      </c>
      <c r="D10" s="13" t="s">
        <v>60</v>
      </c>
      <c r="E10" s="13" t="s">
        <v>61</v>
      </c>
      <c r="F10" s="13">
        <v>0.08</v>
      </c>
      <c r="G10" s="13">
        <v>20</v>
      </c>
      <c r="H10" s="15">
        <v>1</v>
      </c>
      <c r="I10" s="16">
        <f t="shared" si="0"/>
        <v>21.6</v>
      </c>
    </row>
    <row r="11" spans="1:10">
      <c r="A11" s="13" t="s">
        <v>78</v>
      </c>
      <c r="B11" s="14" t="s">
        <v>79</v>
      </c>
      <c r="C11" s="13" t="s">
        <v>80</v>
      </c>
      <c r="D11" s="13" t="s">
        <v>81</v>
      </c>
      <c r="E11" s="13" t="s">
        <v>61</v>
      </c>
      <c r="F11" s="13">
        <v>0.08</v>
      </c>
      <c r="G11" s="13">
        <v>14</v>
      </c>
      <c r="H11" s="15">
        <v>20</v>
      </c>
      <c r="I11" s="16">
        <f t="shared" si="0"/>
        <v>302.40000000000003</v>
      </c>
    </row>
    <row r="12" spans="1:10">
      <c r="A12" s="13" t="s">
        <v>82</v>
      </c>
      <c r="B12" s="14" t="s">
        <v>83</v>
      </c>
      <c r="C12" s="13" t="s">
        <v>80</v>
      </c>
      <c r="D12" s="13" t="s">
        <v>81</v>
      </c>
      <c r="E12" s="13" t="s">
        <v>61</v>
      </c>
      <c r="F12" s="13">
        <v>0.08</v>
      </c>
      <c r="G12" s="13">
        <v>3</v>
      </c>
      <c r="H12" s="15">
        <v>21</v>
      </c>
      <c r="I12" s="16">
        <f t="shared" si="0"/>
        <v>68.040000000000006</v>
      </c>
    </row>
    <row r="13" spans="1:10">
      <c r="A13" s="13" t="s">
        <v>84</v>
      </c>
      <c r="B13" s="14" t="s">
        <v>85</v>
      </c>
      <c r="C13" s="13" t="s">
        <v>80</v>
      </c>
      <c r="D13" s="13" t="s">
        <v>81</v>
      </c>
      <c r="E13" s="13" t="s">
        <v>61</v>
      </c>
      <c r="F13" s="13">
        <v>0.08</v>
      </c>
      <c r="G13" s="13">
        <v>7</v>
      </c>
      <c r="H13" s="15">
        <v>44</v>
      </c>
      <c r="I13" s="16">
        <f t="shared" si="0"/>
        <v>332.64000000000004</v>
      </c>
    </row>
    <row r="14" spans="1:10">
      <c r="A14" s="13" t="s">
        <v>86</v>
      </c>
      <c r="B14" s="14" t="s">
        <v>87</v>
      </c>
      <c r="C14" s="13" t="s">
        <v>80</v>
      </c>
      <c r="D14" s="13" t="s">
        <v>81</v>
      </c>
      <c r="E14" s="13" t="s">
        <v>61</v>
      </c>
      <c r="F14" s="13">
        <v>0.08</v>
      </c>
      <c r="G14" s="13">
        <v>13</v>
      </c>
      <c r="H14" s="15">
        <v>67</v>
      </c>
      <c r="I14" s="16">
        <f t="shared" si="0"/>
        <v>940.68000000000006</v>
      </c>
    </row>
    <row r="15" spans="1:10">
      <c r="A15" s="13" t="s">
        <v>88</v>
      </c>
      <c r="B15" s="14" t="s">
        <v>89</v>
      </c>
      <c r="C15" s="13" t="s">
        <v>80</v>
      </c>
      <c r="D15" s="13" t="s">
        <v>81</v>
      </c>
      <c r="E15" s="13" t="s">
        <v>61</v>
      </c>
      <c r="F15" s="13">
        <v>0.08</v>
      </c>
      <c r="G15" s="13">
        <v>6</v>
      </c>
      <c r="H15" s="15">
        <v>3.4</v>
      </c>
      <c r="I15" s="16">
        <f t="shared" si="0"/>
        <v>22.032</v>
      </c>
    </row>
    <row r="16" spans="1:10">
      <c r="A16" s="13" t="s">
        <v>90</v>
      </c>
      <c r="B16" s="14" t="s">
        <v>91</v>
      </c>
      <c r="C16" s="13" t="s">
        <v>80</v>
      </c>
      <c r="D16" s="13" t="s">
        <v>81</v>
      </c>
      <c r="E16" s="13" t="s">
        <v>61</v>
      </c>
      <c r="F16" s="13">
        <v>0.08</v>
      </c>
      <c r="G16" s="13">
        <v>7</v>
      </c>
      <c r="H16" s="15">
        <v>14</v>
      </c>
      <c r="I16" s="16">
        <f t="shared" si="0"/>
        <v>105.84</v>
      </c>
    </row>
    <row r="17" spans="1:9">
      <c r="A17" s="13" t="s">
        <v>92</v>
      </c>
      <c r="B17" s="14" t="s">
        <v>93</v>
      </c>
      <c r="C17" s="13" t="s">
        <v>80</v>
      </c>
      <c r="D17" s="13" t="s">
        <v>81</v>
      </c>
      <c r="E17" s="13" t="s">
        <v>61</v>
      </c>
      <c r="F17" s="13">
        <v>0.08</v>
      </c>
      <c r="G17" s="13">
        <v>15</v>
      </c>
      <c r="H17" s="15">
        <v>6.85</v>
      </c>
      <c r="I17" s="16">
        <f t="shared" si="0"/>
        <v>110.97000000000001</v>
      </c>
    </row>
    <row r="18" spans="1:9">
      <c r="A18" s="13" t="s">
        <v>94</v>
      </c>
      <c r="B18" s="14" t="s">
        <v>95</v>
      </c>
      <c r="C18" s="13" t="s">
        <v>59</v>
      </c>
      <c r="D18" s="13" t="s">
        <v>81</v>
      </c>
      <c r="E18" s="13" t="s">
        <v>61</v>
      </c>
      <c r="F18" s="13">
        <v>0.08</v>
      </c>
      <c r="G18" s="13">
        <v>9</v>
      </c>
      <c r="H18" s="15">
        <v>3</v>
      </c>
      <c r="I18" s="16">
        <f t="shared" si="0"/>
        <v>29.160000000000004</v>
      </c>
    </row>
    <row r="19" spans="1:9">
      <c r="A19" s="13" t="s">
        <v>96</v>
      </c>
      <c r="B19" s="14" t="s">
        <v>97</v>
      </c>
      <c r="C19" s="13" t="s">
        <v>59</v>
      </c>
      <c r="D19" s="13" t="s">
        <v>81</v>
      </c>
      <c r="E19" s="13" t="s">
        <v>61</v>
      </c>
      <c r="F19" s="13">
        <v>0.08</v>
      </c>
      <c r="G19" s="13">
        <v>15</v>
      </c>
      <c r="H19" s="15">
        <v>3.4</v>
      </c>
      <c r="I19" s="16">
        <f t="shared" si="0"/>
        <v>55.080000000000005</v>
      </c>
    </row>
    <row r="20" spans="1:9">
      <c r="A20" s="13" t="s">
        <v>98</v>
      </c>
      <c r="B20" s="14" t="s">
        <v>99</v>
      </c>
      <c r="C20" s="13" t="s">
        <v>59</v>
      </c>
      <c r="D20" s="13" t="s">
        <v>81</v>
      </c>
      <c r="E20" s="13" t="s">
        <v>61</v>
      </c>
      <c r="F20" s="13">
        <v>0.08</v>
      </c>
      <c r="G20" s="13">
        <v>15</v>
      </c>
      <c r="H20" s="15">
        <v>4.5</v>
      </c>
      <c r="I20" s="16">
        <f t="shared" si="0"/>
        <v>72.900000000000006</v>
      </c>
    </row>
    <row r="21" spans="1:9">
      <c r="A21" s="13" t="s">
        <v>100</v>
      </c>
      <c r="B21" s="14" t="s">
        <v>101</v>
      </c>
      <c r="C21" s="13" t="s">
        <v>59</v>
      </c>
      <c r="D21" s="13" t="s">
        <v>81</v>
      </c>
      <c r="E21" s="13" t="s">
        <v>61</v>
      </c>
      <c r="F21" s="13">
        <v>0.08</v>
      </c>
      <c r="G21" s="13">
        <v>2</v>
      </c>
      <c r="H21" s="15">
        <v>3.5</v>
      </c>
      <c r="I21" s="16">
        <f t="shared" si="0"/>
        <v>7.5600000000000005</v>
      </c>
    </row>
    <row r="22" spans="1:9">
      <c r="A22" s="13" t="s">
        <v>102</v>
      </c>
      <c r="B22" s="14" t="s">
        <v>103</v>
      </c>
      <c r="C22" s="13" t="s">
        <v>59</v>
      </c>
      <c r="D22" s="13" t="s">
        <v>81</v>
      </c>
      <c r="E22" s="13" t="s">
        <v>61</v>
      </c>
      <c r="F22" s="13">
        <v>0.08</v>
      </c>
      <c r="G22" s="13">
        <v>6</v>
      </c>
      <c r="H22" s="15">
        <v>1</v>
      </c>
      <c r="I22" s="16">
        <f t="shared" si="0"/>
        <v>6.48</v>
      </c>
    </row>
    <row r="23" spans="1:9">
      <c r="A23" s="13" t="s">
        <v>104</v>
      </c>
      <c r="B23" s="14" t="s">
        <v>105</v>
      </c>
      <c r="C23" s="13" t="s">
        <v>59</v>
      </c>
      <c r="D23" s="13" t="s">
        <v>81</v>
      </c>
      <c r="E23" s="13" t="s">
        <v>61</v>
      </c>
      <c r="F23" s="13">
        <v>0.08</v>
      </c>
      <c r="G23" s="13">
        <v>10</v>
      </c>
      <c r="H23" s="15">
        <v>2.2999999999999998</v>
      </c>
      <c r="I23" s="16">
        <f t="shared" si="0"/>
        <v>24.840000000000003</v>
      </c>
    </row>
    <row r="24" spans="1:9">
      <c r="A24" s="13" t="s">
        <v>106</v>
      </c>
      <c r="B24" s="14" t="s">
        <v>107</v>
      </c>
      <c r="C24" s="13" t="s">
        <v>108</v>
      </c>
      <c r="D24" s="13" t="s">
        <v>81</v>
      </c>
      <c r="E24" s="13" t="s">
        <v>61</v>
      </c>
      <c r="F24" s="13">
        <v>0.01</v>
      </c>
      <c r="G24" s="13">
        <v>12</v>
      </c>
      <c r="H24" s="15">
        <v>0.6</v>
      </c>
      <c r="I24" s="16">
        <f t="shared" si="0"/>
        <v>7.2719999999999994</v>
      </c>
    </row>
    <row r="25" spans="1:9">
      <c r="A25" s="13" t="s">
        <v>109</v>
      </c>
      <c r="B25" s="14" t="s">
        <v>110</v>
      </c>
      <c r="C25" s="13" t="s">
        <v>108</v>
      </c>
      <c r="D25" s="13" t="s">
        <v>81</v>
      </c>
      <c r="E25" s="13" t="s">
        <v>61</v>
      </c>
      <c r="F25" s="13">
        <v>0.01</v>
      </c>
      <c r="G25" s="13">
        <v>20</v>
      </c>
      <c r="H25" s="15">
        <v>0.7</v>
      </c>
      <c r="I25" s="16">
        <f t="shared" si="0"/>
        <v>14.14</v>
      </c>
    </row>
    <row r="26" spans="1:9">
      <c r="A26" s="13" t="s">
        <v>111</v>
      </c>
      <c r="B26" s="14" t="s">
        <v>112</v>
      </c>
      <c r="C26" s="13" t="s">
        <v>108</v>
      </c>
      <c r="D26" s="13" t="s">
        <v>81</v>
      </c>
      <c r="E26" s="13" t="s">
        <v>61</v>
      </c>
      <c r="F26" s="13">
        <v>0.01</v>
      </c>
      <c r="G26" s="13">
        <v>10</v>
      </c>
      <c r="H26" s="15">
        <v>0.45</v>
      </c>
      <c r="I26" s="16">
        <f t="shared" si="0"/>
        <v>4.5449999999999999</v>
      </c>
    </row>
    <row r="27" spans="1:9">
      <c r="A27" s="13" t="s">
        <v>113</v>
      </c>
      <c r="B27" s="14" t="s">
        <v>114</v>
      </c>
      <c r="C27" s="13" t="s">
        <v>108</v>
      </c>
      <c r="D27" s="13" t="s">
        <v>81</v>
      </c>
      <c r="E27" s="13" t="s">
        <v>61</v>
      </c>
      <c r="F27" s="13">
        <v>0.08</v>
      </c>
      <c r="G27" s="13">
        <v>4</v>
      </c>
      <c r="H27" s="15">
        <v>2.2000000000000002</v>
      </c>
      <c r="I27" s="16">
        <f t="shared" si="0"/>
        <v>9.5040000000000013</v>
      </c>
    </row>
    <row r="28" spans="1:9">
      <c r="A28" s="13" t="s">
        <v>115</v>
      </c>
      <c r="B28" s="14" t="s">
        <v>116</v>
      </c>
      <c r="C28" s="13" t="s">
        <v>117</v>
      </c>
      <c r="D28" s="13" t="s">
        <v>81</v>
      </c>
      <c r="E28" s="13" t="s">
        <v>61</v>
      </c>
      <c r="F28" s="13">
        <v>0.1</v>
      </c>
      <c r="G28" s="13">
        <v>6</v>
      </c>
      <c r="H28" s="15">
        <v>4</v>
      </c>
      <c r="I28" s="16">
        <f t="shared" si="0"/>
        <v>26.400000000000002</v>
      </c>
    </row>
    <row r="29" spans="1:9">
      <c r="A29" s="13" t="s">
        <v>118</v>
      </c>
      <c r="B29" s="14" t="s">
        <v>119</v>
      </c>
      <c r="C29" s="13" t="s">
        <v>117</v>
      </c>
      <c r="D29" s="13" t="s">
        <v>81</v>
      </c>
      <c r="E29" s="13" t="s">
        <v>61</v>
      </c>
      <c r="F29" s="13">
        <v>0.1</v>
      </c>
      <c r="G29" s="13">
        <v>10</v>
      </c>
      <c r="H29" s="15">
        <v>15</v>
      </c>
      <c r="I29" s="16">
        <f t="shared" si="0"/>
        <v>165</v>
      </c>
    </row>
    <row r="30" spans="1:9">
      <c r="A30" s="13" t="s">
        <v>120</v>
      </c>
      <c r="B30" s="14" t="s">
        <v>121</v>
      </c>
      <c r="C30" s="13" t="s">
        <v>117</v>
      </c>
      <c r="D30" s="13" t="s">
        <v>81</v>
      </c>
      <c r="E30" s="13" t="s">
        <v>61</v>
      </c>
      <c r="F30" s="13">
        <v>0.08</v>
      </c>
      <c r="G30" s="13">
        <v>10</v>
      </c>
      <c r="H30" s="15">
        <v>4</v>
      </c>
      <c r="I30" s="16">
        <f t="shared" si="0"/>
        <v>43.2</v>
      </c>
    </row>
    <row r="31" spans="1:9">
      <c r="A31" s="13" t="s">
        <v>122</v>
      </c>
      <c r="B31" s="14" t="s">
        <v>123</v>
      </c>
      <c r="C31" s="13" t="s">
        <v>117</v>
      </c>
      <c r="D31" s="13" t="s">
        <v>81</v>
      </c>
      <c r="E31" s="13" t="s">
        <v>61</v>
      </c>
      <c r="F31" s="13">
        <v>0.1</v>
      </c>
      <c r="G31" s="13">
        <v>8</v>
      </c>
      <c r="H31" s="15">
        <v>23</v>
      </c>
      <c r="I31" s="16">
        <f t="shared" si="0"/>
        <v>202.4</v>
      </c>
    </row>
    <row r="32" spans="1:9">
      <c r="A32" s="13" t="s">
        <v>124</v>
      </c>
      <c r="B32" s="14" t="s">
        <v>125</v>
      </c>
      <c r="C32" s="13" t="s">
        <v>126</v>
      </c>
      <c r="D32" s="13" t="s">
        <v>81</v>
      </c>
      <c r="E32" s="13" t="s">
        <v>61</v>
      </c>
      <c r="F32" s="13">
        <v>0.08</v>
      </c>
      <c r="G32" s="13">
        <v>11</v>
      </c>
      <c r="H32" s="15">
        <v>23.4</v>
      </c>
      <c r="I32" s="16">
        <f t="shared" si="0"/>
        <v>277.99200000000002</v>
      </c>
    </row>
    <row r="33" spans="1:9">
      <c r="A33" s="13" t="s">
        <v>127</v>
      </c>
      <c r="B33" s="14" t="s">
        <v>128</v>
      </c>
      <c r="C33" s="13" t="s">
        <v>126</v>
      </c>
      <c r="D33" s="13" t="s">
        <v>81</v>
      </c>
      <c r="E33" s="13" t="s">
        <v>61</v>
      </c>
      <c r="F33" s="13">
        <v>0.08</v>
      </c>
      <c r="G33" s="13">
        <v>8</v>
      </c>
      <c r="H33" s="15">
        <v>90</v>
      </c>
      <c r="I33" s="16">
        <f t="shared" si="0"/>
        <v>777.6</v>
      </c>
    </row>
    <row r="34" spans="1:9">
      <c r="A34" s="13" t="s">
        <v>129</v>
      </c>
      <c r="B34" s="14" t="s">
        <v>130</v>
      </c>
      <c r="C34" s="13" t="s">
        <v>126</v>
      </c>
      <c r="D34" s="13" t="s">
        <v>81</v>
      </c>
      <c r="E34" s="13" t="s">
        <v>61</v>
      </c>
      <c r="F34" s="13">
        <v>0.08</v>
      </c>
      <c r="G34" s="13">
        <v>13</v>
      </c>
      <c r="H34" s="15">
        <v>40.9</v>
      </c>
      <c r="I34" s="16">
        <f t="shared" si="0"/>
        <v>574.23599999999999</v>
      </c>
    </row>
    <row r="35" spans="1:9">
      <c r="A35" s="13" t="s">
        <v>131</v>
      </c>
      <c r="B35" s="14" t="s">
        <v>132</v>
      </c>
      <c r="C35" s="13" t="s">
        <v>126</v>
      </c>
      <c r="D35" s="13" t="s">
        <v>81</v>
      </c>
      <c r="E35" s="13" t="s">
        <v>61</v>
      </c>
      <c r="F35" s="13">
        <v>0.08</v>
      </c>
      <c r="G35" s="13">
        <v>11</v>
      </c>
      <c r="H35" s="15">
        <v>12.3</v>
      </c>
      <c r="I35" s="16">
        <f t="shared" si="0"/>
        <v>146.12400000000002</v>
      </c>
    </row>
    <row r="36" spans="1:9">
      <c r="A36" s="13" t="s">
        <v>133</v>
      </c>
      <c r="B36" s="14" t="s">
        <v>134</v>
      </c>
      <c r="C36" s="13" t="s">
        <v>126</v>
      </c>
      <c r="D36" s="13" t="s">
        <v>81</v>
      </c>
      <c r="E36" s="13" t="s">
        <v>61</v>
      </c>
      <c r="F36" s="13">
        <v>0.08</v>
      </c>
      <c r="G36" s="13">
        <v>5</v>
      </c>
      <c r="H36" s="15">
        <v>23.6</v>
      </c>
      <c r="I36" s="16">
        <f t="shared" si="0"/>
        <v>127.44000000000001</v>
      </c>
    </row>
    <row r="37" spans="1:9">
      <c r="A37" s="13" t="s">
        <v>135</v>
      </c>
      <c r="B37" s="14" t="s">
        <v>136</v>
      </c>
      <c r="C37" s="13" t="s">
        <v>126</v>
      </c>
      <c r="D37" s="13" t="s">
        <v>81</v>
      </c>
      <c r="E37" s="13" t="s">
        <v>61</v>
      </c>
      <c r="F37" s="13">
        <v>0.08</v>
      </c>
      <c r="G37" s="13">
        <v>13</v>
      </c>
      <c r="H37" s="15">
        <v>7</v>
      </c>
      <c r="I37" s="16">
        <f t="shared" si="0"/>
        <v>98.28</v>
      </c>
    </row>
  </sheetData>
  <autoFilter ref="A1:I37">
    <filterColumn colId="1">
      <customFilters>
        <customFilter val="**"/>
      </customFilters>
    </filterColumn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TextBox1">
          <controlPr defaultSize="0" autoLine="0" r:id="rId4">
            <anchor moveWithCells="1">
              <from>
                <xdr:col>9</xdr:col>
                <xdr:colOff>666750</xdr:colOff>
                <xdr:row>0</xdr:row>
                <xdr:rowOff>180975</xdr:rowOff>
              </from>
              <to>
                <xdr:col>12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3073" r:id="rId3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64">
    <tabColor rgb="FF92D050"/>
  </sheetPr>
  <dimension ref="A1:AI49"/>
  <sheetViews>
    <sheetView topLeftCell="G1" workbookViewId="0">
      <selection activeCell="M14" sqref="M14"/>
    </sheetView>
  </sheetViews>
  <sheetFormatPr defaultRowHeight="15"/>
  <cols>
    <col min="1" max="1" width="11.42578125" style="18" customWidth="1"/>
    <col min="2" max="2" width="16.5703125" style="18" customWidth="1"/>
    <col min="3" max="3" width="30.7109375" style="18" customWidth="1"/>
    <col min="4" max="4" width="20.85546875" style="18" customWidth="1"/>
    <col min="5" max="6" width="15.140625" style="18" customWidth="1"/>
    <col min="7" max="7" width="12.85546875" style="18" bestFit="1" customWidth="1"/>
    <col min="8" max="8" width="5.5703125" style="18" bestFit="1" customWidth="1"/>
    <col min="9" max="9" width="6" style="18" bestFit="1" customWidth="1"/>
    <col min="10" max="10" width="9.140625" style="18"/>
    <col min="11" max="11" width="13" style="18" customWidth="1"/>
    <col min="12" max="13" width="9.140625" style="18"/>
    <col min="14" max="14" width="19.5703125" style="18" bestFit="1" customWidth="1"/>
    <col min="15" max="15" width="13.5703125" style="18" bestFit="1" customWidth="1"/>
    <col min="16" max="16" width="10.140625" style="18" bestFit="1" customWidth="1"/>
    <col min="17" max="17" width="12.7109375" style="18" bestFit="1" customWidth="1"/>
    <col min="18" max="18" width="9.140625" style="18"/>
    <col min="19" max="19" width="12" style="18" bestFit="1" customWidth="1"/>
    <col min="20" max="20" width="11.7109375" style="18" bestFit="1" customWidth="1"/>
    <col min="21" max="16384" width="9.140625" style="18"/>
  </cols>
  <sheetData>
    <row r="1" spans="1:35">
      <c r="A1" s="17" t="s">
        <v>137</v>
      </c>
      <c r="B1" s="17" t="s">
        <v>138</v>
      </c>
      <c r="C1" s="17" t="s">
        <v>139</v>
      </c>
      <c r="D1" s="17" t="s">
        <v>140</v>
      </c>
      <c r="E1" s="17" t="s">
        <v>48</v>
      </c>
      <c r="F1" s="17" t="s">
        <v>51</v>
      </c>
      <c r="G1" s="17" t="s">
        <v>50</v>
      </c>
      <c r="H1" s="17" t="s">
        <v>61</v>
      </c>
      <c r="I1" s="17" t="s">
        <v>141</v>
      </c>
      <c r="J1" s="17" t="s">
        <v>142</v>
      </c>
      <c r="K1" s="17" t="s">
        <v>143</v>
      </c>
      <c r="N1" s="19" t="s">
        <v>144</v>
      </c>
      <c r="O1" s="19" t="s">
        <v>145</v>
      </c>
      <c r="P1" s="19" t="s">
        <v>146</v>
      </c>
      <c r="Q1" s="19" t="s">
        <v>147</v>
      </c>
      <c r="R1" s="19" t="s">
        <v>148</v>
      </c>
      <c r="S1" s="19" t="s">
        <v>149</v>
      </c>
      <c r="T1" s="19" t="s">
        <v>150</v>
      </c>
    </row>
    <row r="2" spans="1:35">
      <c r="A2" s="20">
        <v>41623</v>
      </c>
      <c r="B2" s="18">
        <v>123491</v>
      </c>
      <c r="C2" s="18" t="s">
        <v>151</v>
      </c>
      <c r="D2" s="21" t="s">
        <v>152</v>
      </c>
      <c r="E2" s="18" t="s">
        <v>153</v>
      </c>
      <c r="F2" s="18" t="s">
        <v>60</v>
      </c>
      <c r="G2" s="18" t="s">
        <v>154</v>
      </c>
      <c r="H2" s="18">
        <v>5</v>
      </c>
      <c r="I2" s="18">
        <v>1.3</v>
      </c>
      <c r="J2" s="18">
        <f t="shared" ref="J2:J49" si="0">H2*I2</f>
        <v>6.5</v>
      </c>
      <c r="K2" s="18" t="s">
        <v>155</v>
      </c>
      <c r="N2" s="21" t="s">
        <v>152</v>
      </c>
      <c r="O2" s="20">
        <v>38962</v>
      </c>
      <c r="P2" s="22">
        <f t="shared" ref="P2:P8" ca="1" si="1">YEAR(TODAY())-YEAR(O2)</f>
        <v>14</v>
      </c>
      <c r="Q2" s="18">
        <f t="shared" ref="Q2:Q8" si="2">COUNTIF($D$2:$D$49,N2)</f>
        <v>20</v>
      </c>
      <c r="R2" s="18">
        <f ca="1">INDEX($O$11:$AI$30,P2,Q2)</f>
        <v>0.35000000000000014</v>
      </c>
      <c r="S2" s="18">
        <f t="shared" ref="S2:S8" si="3">SUMIF(D:D,N2,J:J)</f>
        <v>1999.6000000000001</v>
      </c>
      <c r="T2" s="23">
        <f t="shared" ref="T2:T8" ca="1" si="4">S2*R2</f>
        <v>699.86000000000035</v>
      </c>
    </row>
    <row r="3" spans="1:35">
      <c r="A3" s="20">
        <v>41625</v>
      </c>
      <c r="B3" s="18">
        <v>123493</v>
      </c>
      <c r="C3" s="18" t="s">
        <v>151</v>
      </c>
      <c r="D3" s="21" t="s">
        <v>156</v>
      </c>
      <c r="E3" s="18" t="s">
        <v>157</v>
      </c>
      <c r="F3" s="18" t="s">
        <v>60</v>
      </c>
      <c r="G3" s="18" t="s">
        <v>154</v>
      </c>
      <c r="H3" s="18">
        <v>6</v>
      </c>
      <c r="I3" s="18">
        <v>1</v>
      </c>
      <c r="J3" s="18">
        <f t="shared" si="0"/>
        <v>6</v>
      </c>
      <c r="K3" s="18" t="s">
        <v>158</v>
      </c>
      <c r="N3" s="21" t="s">
        <v>156</v>
      </c>
      <c r="O3" s="20">
        <v>38619</v>
      </c>
      <c r="P3" s="22">
        <f t="shared" ca="1" si="1"/>
        <v>15</v>
      </c>
      <c r="Q3" s="18">
        <f t="shared" si="2"/>
        <v>5</v>
      </c>
      <c r="R3" s="18">
        <f t="shared" ref="R3:R8" ca="1" si="5">INDEX($O$11:$AI$30,P3,Q3)</f>
        <v>0.21000000000000005</v>
      </c>
      <c r="S3" s="18">
        <f t="shared" si="3"/>
        <v>1534.95</v>
      </c>
      <c r="T3" s="23">
        <f t="shared" ca="1" si="4"/>
        <v>322.3395000000001</v>
      </c>
    </row>
    <row r="4" spans="1:35">
      <c r="A4" s="20">
        <v>41611</v>
      </c>
      <c r="B4" s="18">
        <v>123479</v>
      </c>
      <c r="C4" s="18" t="s">
        <v>159</v>
      </c>
      <c r="D4" s="21" t="s">
        <v>152</v>
      </c>
      <c r="E4" s="18" t="s">
        <v>160</v>
      </c>
      <c r="F4" s="18" t="s">
        <v>60</v>
      </c>
      <c r="G4" s="18" t="s">
        <v>154</v>
      </c>
      <c r="H4" s="18">
        <v>2</v>
      </c>
      <c r="I4" s="18">
        <v>1.3</v>
      </c>
      <c r="J4" s="18">
        <f t="shared" si="0"/>
        <v>2.6</v>
      </c>
      <c r="K4" s="18" t="s">
        <v>158</v>
      </c>
      <c r="N4" s="21" t="s">
        <v>161</v>
      </c>
      <c r="O4" s="20">
        <v>38831</v>
      </c>
      <c r="P4" s="22">
        <f t="shared" ca="1" si="1"/>
        <v>14</v>
      </c>
      <c r="Q4" s="18">
        <f t="shared" si="2"/>
        <v>5</v>
      </c>
      <c r="R4" s="18">
        <f t="shared" ca="1" si="5"/>
        <v>0.20000000000000004</v>
      </c>
      <c r="S4" s="18">
        <f t="shared" si="3"/>
        <v>439.3</v>
      </c>
      <c r="T4" s="23">
        <f t="shared" ca="1" si="4"/>
        <v>87.860000000000014</v>
      </c>
    </row>
    <row r="5" spans="1:35">
      <c r="A5" s="20">
        <v>41609</v>
      </c>
      <c r="B5" s="18">
        <v>123477</v>
      </c>
      <c r="C5" s="18" t="s">
        <v>162</v>
      </c>
      <c r="D5" s="21" t="s">
        <v>152</v>
      </c>
      <c r="E5" s="18" t="s">
        <v>163</v>
      </c>
      <c r="F5" s="18" t="s">
        <v>60</v>
      </c>
      <c r="G5" s="18" t="s">
        <v>154</v>
      </c>
      <c r="H5" s="18">
        <v>4</v>
      </c>
      <c r="I5" s="18">
        <v>1.2</v>
      </c>
      <c r="J5" s="18">
        <f t="shared" si="0"/>
        <v>4.8</v>
      </c>
      <c r="K5" s="18" t="s">
        <v>155</v>
      </c>
      <c r="N5" s="21" t="s">
        <v>164</v>
      </c>
      <c r="O5" s="20">
        <v>40462</v>
      </c>
      <c r="P5" s="22">
        <f t="shared" ca="1" si="1"/>
        <v>10</v>
      </c>
      <c r="Q5" s="18">
        <f t="shared" si="2"/>
        <v>5</v>
      </c>
      <c r="R5" s="18">
        <f t="shared" ca="1" si="5"/>
        <v>0.16</v>
      </c>
      <c r="S5" s="18">
        <f t="shared" si="3"/>
        <v>162.55000000000001</v>
      </c>
      <c r="T5" s="23">
        <f t="shared" ca="1" si="4"/>
        <v>26.008000000000003</v>
      </c>
    </row>
    <row r="6" spans="1:35">
      <c r="A6" s="20">
        <v>41612</v>
      </c>
      <c r="B6" s="18">
        <v>123480</v>
      </c>
      <c r="C6" s="18" t="s">
        <v>165</v>
      </c>
      <c r="D6" s="21" t="s">
        <v>161</v>
      </c>
      <c r="E6" s="18" t="s">
        <v>157</v>
      </c>
      <c r="F6" s="18" t="s">
        <v>60</v>
      </c>
      <c r="G6" s="18" t="s">
        <v>154</v>
      </c>
      <c r="H6" s="18">
        <v>44</v>
      </c>
      <c r="I6" s="18">
        <v>1</v>
      </c>
      <c r="J6" s="18">
        <f t="shared" si="0"/>
        <v>44</v>
      </c>
      <c r="K6" s="18" t="s">
        <v>158</v>
      </c>
      <c r="N6" s="21" t="s">
        <v>166</v>
      </c>
      <c r="O6" s="20">
        <v>38664</v>
      </c>
      <c r="P6" s="22">
        <f t="shared" ca="1" si="1"/>
        <v>15</v>
      </c>
      <c r="Q6" s="18">
        <f t="shared" si="2"/>
        <v>5</v>
      </c>
      <c r="R6" s="18">
        <f t="shared" ca="1" si="5"/>
        <v>0.21000000000000005</v>
      </c>
      <c r="S6" s="18">
        <f t="shared" si="3"/>
        <v>1042.6499999999999</v>
      </c>
      <c r="T6" s="23">
        <f t="shared" ca="1" si="4"/>
        <v>218.95650000000003</v>
      </c>
    </row>
    <row r="7" spans="1:35">
      <c r="A7" s="20">
        <v>41622</v>
      </c>
      <c r="B7" s="18">
        <v>123490</v>
      </c>
      <c r="C7" s="18" t="s">
        <v>167</v>
      </c>
      <c r="D7" s="21" t="s">
        <v>161</v>
      </c>
      <c r="E7" s="18" t="s">
        <v>163</v>
      </c>
      <c r="F7" s="18" t="s">
        <v>60</v>
      </c>
      <c r="G7" s="18" t="s">
        <v>154</v>
      </c>
      <c r="H7" s="18">
        <v>4</v>
      </c>
      <c r="I7" s="18">
        <v>1.2</v>
      </c>
      <c r="J7" s="18">
        <f t="shared" si="0"/>
        <v>4.8</v>
      </c>
      <c r="K7" s="18" t="s">
        <v>158</v>
      </c>
      <c r="N7" s="21" t="s">
        <v>168</v>
      </c>
      <c r="O7" s="20">
        <v>41701</v>
      </c>
      <c r="P7" s="22">
        <f t="shared" ca="1" si="1"/>
        <v>6</v>
      </c>
      <c r="Q7" s="18">
        <f t="shared" si="2"/>
        <v>4</v>
      </c>
      <c r="R7" s="18">
        <f t="shared" ca="1" si="5"/>
        <v>0.10999999999999999</v>
      </c>
      <c r="S7" s="18">
        <f t="shared" si="3"/>
        <v>35</v>
      </c>
      <c r="T7" s="23">
        <f t="shared" ca="1" si="4"/>
        <v>3.8499999999999996</v>
      </c>
    </row>
    <row r="8" spans="1:35">
      <c r="A8" s="20">
        <v>41624</v>
      </c>
      <c r="B8" s="18">
        <v>123492</v>
      </c>
      <c r="C8" s="18" t="s">
        <v>169</v>
      </c>
      <c r="D8" s="21" t="s">
        <v>164</v>
      </c>
      <c r="E8" s="18" t="s">
        <v>160</v>
      </c>
      <c r="F8" s="18" t="s">
        <v>60</v>
      </c>
      <c r="G8" s="18" t="s">
        <v>154</v>
      </c>
      <c r="H8" s="18">
        <v>6</v>
      </c>
      <c r="I8" s="18">
        <v>1.3</v>
      </c>
      <c r="J8" s="18">
        <f t="shared" si="0"/>
        <v>7.8000000000000007</v>
      </c>
      <c r="K8" s="18" t="s">
        <v>158</v>
      </c>
      <c r="N8" s="21" t="s">
        <v>170</v>
      </c>
      <c r="O8" s="20">
        <v>40602</v>
      </c>
      <c r="P8" s="22">
        <f t="shared" ca="1" si="1"/>
        <v>9</v>
      </c>
      <c r="Q8" s="18">
        <f t="shared" si="2"/>
        <v>4</v>
      </c>
      <c r="R8" s="18">
        <f t="shared" ca="1" si="5"/>
        <v>0.13999999999999999</v>
      </c>
      <c r="S8" s="18">
        <f t="shared" si="3"/>
        <v>34.450000000000003</v>
      </c>
      <c r="T8" s="23">
        <f t="shared" ca="1" si="4"/>
        <v>4.8229999999999995</v>
      </c>
    </row>
    <row r="9" spans="1:35">
      <c r="A9" s="20">
        <v>41610</v>
      </c>
      <c r="B9" s="18">
        <v>123478</v>
      </c>
      <c r="C9" s="18" t="s">
        <v>171</v>
      </c>
      <c r="D9" s="21" t="s">
        <v>166</v>
      </c>
      <c r="E9" s="18" t="s">
        <v>153</v>
      </c>
      <c r="F9" s="18" t="s">
        <v>60</v>
      </c>
      <c r="G9" s="18" t="s">
        <v>154</v>
      </c>
      <c r="H9" s="18">
        <v>32</v>
      </c>
      <c r="I9" s="18">
        <v>1.3</v>
      </c>
      <c r="J9" s="18">
        <f t="shared" si="0"/>
        <v>41.6</v>
      </c>
      <c r="K9" s="18" t="s">
        <v>158</v>
      </c>
      <c r="N9" s="6"/>
    </row>
    <row r="10" spans="1:35">
      <c r="A10" s="20">
        <v>41626</v>
      </c>
      <c r="B10" s="18">
        <v>123494</v>
      </c>
      <c r="C10" s="18" t="s">
        <v>172</v>
      </c>
      <c r="D10" s="21" t="s">
        <v>168</v>
      </c>
      <c r="E10" s="18" t="s">
        <v>173</v>
      </c>
      <c r="F10" s="18" t="s">
        <v>60</v>
      </c>
      <c r="G10" s="18" t="s">
        <v>154</v>
      </c>
      <c r="H10" s="18">
        <v>6</v>
      </c>
      <c r="I10" s="18">
        <v>1.35</v>
      </c>
      <c r="J10" s="18">
        <f t="shared" si="0"/>
        <v>8.1000000000000014</v>
      </c>
      <c r="K10" s="18" t="s">
        <v>174</v>
      </c>
      <c r="N10" s="6" t="s">
        <v>175</v>
      </c>
      <c r="O10" s="18">
        <v>1</v>
      </c>
      <c r="P10" s="18">
        <v>2</v>
      </c>
      <c r="Q10" s="18">
        <v>3</v>
      </c>
      <c r="R10" s="18">
        <v>4</v>
      </c>
      <c r="S10" s="18">
        <v>5</v>
      </c>
      <c r="T10" s="18">
        <v>6</v>
      </c>
      <c r="U10" s="18">
        <v>7</v>
      </c>
      <c r="V10" s="18">
        <v>8</v>
      </c>
      <c r="W10" s="18">
        <v>9</v>
      </c>
      <c r="X10" s="18">
        <v>10</v>
      </c>
      <c r="Y10" s="18">
        <v>11</v>
      </c>
      <c r="Z10" s="18">
        <v>12</v>
      </c>
      <c r="AA10" s="18">
        <v>13</v>
      </c>
      <c r="AB10" s="18">
        <v>14</v>
      </c>
      <c r="AC10" s="18">
        <v>15</v>
      </c>
      <c r="AD10" s="18">
        <v>16</v>
      </c>
      <c r="AE10" s="18">
        <v>17</v>
      </c>
      <c r="AF10" s="18">
        <v>18</v>
      </c>
      <c r="AG10" s="18">
        <v>19</v>
      </c>
      <c r="AH10" s="18">
        <v>20</v>
      </c>
      <c r="AI10" s="18">
        <v>21</v>
      </c>
    </row>
    <row r="11" spans="1:35">
      <c r="A11" s="20">
        <v>41564</v>
      </c>
      <c r="B11" s="18">
        <v>123456</v>
      </c>
      <c r="C11" s="18" t="s">
        <v>151</v>
      </c>
      <c r="D11" s="21" t="s">
        <v>152</v>
      </c>
      <c r="E11" s="18" t="s">
        <v>88</v>
      </c>
      <c r="F11" s="18" t="s">
        <v>81</v>
      </c>
      <c r="G11" s="18" t="s">
        <v>176</v>
      </c>
      <c r="H11" s="18">
        <v>2</v>
      </c>
      <c r="I11" s="18">
        <v>3.4</v>
      </c>
      <c r="J11" s="18">
        <f t="shared" si="0"/>
        <v>6.8</v>
      </c>
      <c r="K11" s="18" t="s">
        <v>158</v>
      </c>
      <c r="N11">
        <v>1</v>
      </c>
      <c r="O11" s="23">
        <v>0.03</v>
      </c>
      <c r="P11" s="23">
        <f t="shared" ref="P11:AI23" si="6">O11+0.01</f>
        <v>0.04</v>
      </c>
      <c r="Q11" s="23">
        <f t="shared" si="6"/>
        <v>0.05</v>
      </c>
      <c r="R11" s="23">
        <f t="shared" si="6"/>
        <v>6.0000000000000005E-2</v>
      </c>
      <c r="S11" s="23">
        <f t="shared" si="6"/>
        <v>7.0000000000000007E-2</v>
      </c>
      <c r="T11" s="23">
        <f t="shared" si="6"/>
        <v>0.08</v>
      </c>
      <c r="U11" s="23">
        <f t="shared" si="6"/>
        <v>0.09</v>
      </c>
      <c r="V11" s="23">
        <f t="shared" si="6"/>
        <v>9.9999999999999992E-2</v>
      </c>
      <c r="W11" s="23">
        <f t="shared" si="6"/>
        <v>0.10999999999999999</v>
      </c>
      <c r="X11" s="23">
        <f t="shared" si="6"/>
        <v>0.11999999999999998</v>
      </c>
      <c r="Y11" s="23">
        <f t="shared" si="6"/>
        <v>0.12999999999999998</v>
      </c>
      <c r="Z11" s="23">
        <f t="shared" si="6"/>
        <v>0.13999999999999999</v>
      </c>
      <c r="AA11" s="23">
        <f t="shared" si="6"/>
        <v>0.15</v>
      </c>
      <c r="AB11" s="23">
        <f t="shared" si="6"/>
        <v>0.16</v>
      </c>
      <c r="AC11" s="23">
        <f t="shared" si="6"/>
        <v>0.17</v>
      </c>
      <c r="AD11" s="23">
        <f t="shared" si="6"/>
        <v>0.18000000000000002</v>
      </c>
      <c r="AE11" s="23">
        <f t="shared" si="6"/>
        <v>0.19000000000000003</v>
      </c>
      <c r="AF11" s="23">
        <f t="shared" si="6"/>
        <v>0.20000000000000004</v>
      </c>
      <c r="AG11" s="23">
        <f t="shared" si="6"/>
        <v>0.21000000000000005</v>
      </c>
      <c r="AH11" s="23">
        <f t="shared" si="6"/>
        <v>0.22000000000000006</v>
      </c>
      <c r="AI11" s="23">
        <f t="shared" si="6"/>
        <v>0.23000000000000007</v>
      </c>
    </row>
    <row r="12" spans="1:35">
      <c r="A12" s="20">
        <v>41564</v>
      </c>
      <c r="B12" s="18">
        <v>123461</v>
      </c>
      <c r="C12" s="18" t="s">
        <v>151</v>
      </c>
      <c r="D12" s="21" t="s">
        <v>152</v>
      </c>
      <c r="E12" s="18" t="s">
        <v>88</v>
      </c>
      <c r="F12" s="18" t="s">
        <v>81</v>
      </c>
      <c r="G12" s="18" t="s">
        <v>176</v>
      </c>
      <c r="H12" s="18">
        <v>6</v>
      </c>
      <c r="I12" s="18">
        <v>3.4</v>
      </c>
      <c r="J12" s="18">
        <f t="shared" si="0"/>
        <v>20.399999999999999</v>
      </c>
      <c r="K12" s="18" t="s">
        <v>158</v>
      </c>
      <c r="N12">
        <v>2</v>
      </c>
      <c r="O12" s="24">
        <f t="shared" ref="O12:O30" si="7">O11+0.01</f>
        <v>0.04</v>
      </c>
      <c r="P12" s="23">
        <f t="shared" si="6"/>
        <v>0.05</v>
      </c>
      <c r="Q12" s="23">
        <f t="shared" si="6"/>
        <v>6.0000000000000005E-2</v>
      </c>
      <c r="R12" s="23">
        <f t="shared" si="6"/>
        <v>7.0000000000000007E-2</v>
      </c>
      <c r="S12" s="23">
        <f t="shared" si="6"/>
        <v>0.08</v>
      </c>
      <c r="T12" s="23">
        <f t="shared" si="6"/>
        <v>0.09</v>
      </c>
      <c r="U12" s="23">
        <f t="shared" si="6"/>
        <v>9.9999999999999992E-2</v>
      </c>
      <c r="V12" s="23">
        <f t="shared" si="6"/>
        <v>0.10999999999999999</v>
      </c>
      <c r="W12" s="23">
        <f t="shared" si="6"/>
        <v>0.11999999999999998</v>
      </c>
      <c r="X12" s="23">
        <f t="shared" si="6"/>
        <v>0.12999999999999998</v>
      </c>
      <c r="Y12" s="23">
        <f t="shared" si="6"/>
        <v>0.13999999999999999</v>
      </c>
      <c r="Z12" s="23">
        <f t="shared" si="6"/>
        <v>0.15</v>
      </c>
      <c r="AA12" s="23">
        <f t="shared" si="6"/>
        <v>0.16</v>
      </c>
      <c r="AB12" s="23">
        <f t="shared" si="6"/>
        <v>0.17</v>
      </c>
      <c r="AC12" s="23">
        <f t="shared" si="6"/>
        <v>0.18000000000000002</v>
      </c>
      <c r="AD12" s="23">
        <f t="shared" si="6"/>
        <v>0.19000000000000003</v>
      </c>
      <c r="AE12" s="23">
        <f t="shared" si="6"/>
        <v>0.20000000000000004</v>
      </c>
      <c r="AF12" s="23">
        <f t="shared" si="6"/>
        <v>0.21000000000000005</v>
      </c>
      <c r="AG12" s="23">
        <f t="shared" si="6"/>
        <v>0.22000000000000006</v>
      </c>
      <c r="AH12" s="23">
        <f t="shared" si="6"/>
        <v>0.23000000000000007</v>
      </c>
      <c r="AI12" s="23">
        <f t="shared" si="6"/>
        <v>0.24000000000000007</v>
      </c>
    </row>
    <row r="13" spans="1:35">
      <c r="A13" s="20">
        <v>41564</v>
      </c>
      <c r="B13" s="18">
        <v>123460</v>
      </c>
      <c r="C13" s="18" t="s">
        <v>159</v>
      </c>
      <c r="D13" s="21" t="s">
        <v>161</v>
      </c>
      <c r="E13" s="18" t="s">
        <v>82</v>
      </c>
      <c r="F13" s="18" t="s">
        <v>81</v>
      </c>
      <c r="G13" s="18" t="s">
        <v>176</v>
      </c>
      <c r="H13" s="18">
        <v>5</v>
      </c>
      <c r="I13" s="18">
        <v>21</v>
      </c>
      <c r="J13" s="18">
        <f t="shared" si="0"/>
        <v>105</v>
      </c>
      <c r="K13" s="18" t="s">
        <v>158</v>
      </c>
      <c r="N13">
        <v>3</v>
      </c>
      <c r="O13" s="24">
        <f t="shared" si="7"/>
        <v>0.05</v>
      </c>
      <c r="P13" s="23">
        <f t="shared" si="6"/>
        <v>6.0000000000000005E-2</v>
      </c>
      <c r="Q13" s="23">
        <f t="shared" si="6"/>
        <v>7.0000000000000007E-2</v>
      </c>
      <c r="R13" s="23">
        <f t="shared" si="6"/>
        <v>0.08</v>
      </c>
      <c r="S13" s="23">
        <f t="shared" si="6"/>
        <v>0.09</v>
      </c>
      <c r="T13" s="23">
        <f t="shared" si="6"/>
        <v>9.9999999999999992E-2</v>
      </c>
      <c r="U13" s="23">
        <f t="shared" si="6"/>
        <v>0.10999999999999999</v>
      </c>
      <c r="V13" s="23">
        <f t="shared" si="6"/>
        <v>0.11999999999999998</v>
      </c>
      <c r="W13" s="23">
        <f t="shared" si="6"/>
        <v>0.12999999999999998</v>
      </c>
      <c r="X13" s="23">
        <f t="shared" si="6"/>
        <v>0.13999999999999999</v>
      </c>
      <c r="Y13" s="23">
        <f t="shared" si="6"/>
        <v>0.15</v>
      </c>
      <c r="Z13" s="23">
        <f t="shared" si="6"/>
        <v>0.16</v>
      </c>
      <c r="AA13" s="23">
        <f t="shared" si="6"/>
        <v>0.17</v>
      </c>
      <c r="AB13" s="23">
        <f t="shared" si="6"/>
        <v>0.18000000000000002</v>
      </c>
      <c r="AC13" s="23">
        <f t="shared" si="6"/>
        <v>0.19000000000000003</v>
      </c>
      <c r="AD13" s="23">
        <f t="shared" si="6"/>
        <v>0.20000000000000004</v>
      </c>
      <c r="AE13" s="23">
        <f t="shared" si="6"/>
        <v>0.21000000000000005</v>
      </c>
      <c r="AF13" s="23">
        <f t="shared" si="6"/>
        <v>0.22000000000000006</v>
      </c>
      <c r="AG13" s="23">
        <f t="shared" si="6"/>
        <v>0.23000000000000007</v>
      </c>
      <c r="AH13" s="23">
        <f t="shared" si="6"/>
        <v>0.24000000000000007</v>
      </c>
      <c r="AI13" s="23">
        <f t="shared" si="6"/>
        <v>0.25000000000000006</v>
      </c>
    </row>
    <row r="14" spans="1:35">
      <c r="A14" s="20">
        <v>41564</v>
      </c>
      <c r="B14" s="18">
        <v>123457</v>
      </c>
      <c r="C14" s="18" t="s">
        <v>177</v>
      </c>
      <c r="D14" s="21" t="s">
        <v>152</v>
      </c>
      <c r="E14" s="18" t="s">
        <v>92</v>
      </c>
      <c r="F14" s="18" t="s">
        <v>81</v>
      </c>
      <c r="G14" s="18" t="s">
        <v>176</v>
      </c>
      <c r="H14" s="18">
        <v>3</v>
      </c>
      <c r="I14" s="18">
        <v>6.85</v>
      </c>
      <c r="J14" s="18">
        <f t="shared" si="0"/>
        <v>20.549999999999997</v>
      </c>
      <c r="K14" s="18" t="s">
        <v>158</v>
      </c>
      <c r="N14">
        <v>4</v>
      </c>
      <c r="O14" s="24">
        <f t="shared" si="7"/>
        <v>6.0000000000000005E-2</v>
      </c>
      <c r="P14" s="23">
        <f t="shared" si="6"/>
        <v>7.0000000000000007E-2</v>
      </c>
      <c r="Q14" s="23">
        <f t="shared" si="6"/>
        <v>0.08</v>
      </c>
      <c r="R14" s="23">
        <f t="shared" si="6"/>
        <v>0.09</v>
      </c>
      <c r="S14" s="23">
        <f t="shared" si="6"/>
        <v>9.9999999999999992E-2</v>
      </c>
      <c r="T14" s="23">
        <f t="shared" si="6"/>
        <v>0.10999999999999999</v>
      </c>
      <c r="U14" s="23">
        <f t="shared" si="6"/>
        <v>0.11999999999999998</v>
      </c>
      <c r="V14" s="23">
        <f t="shared" si="6"/>
        <v>0.12999999999999998</v>
      </c>
      <c r="W14" s="23">
        <f t="shared" si="6"/>
        <v>0.13999999999999999</v>
      </c>
      <c r="X14" s="23">
        <f t="shared" si="6"/>
        <v>0.15</v>
      </c>
      <c r="Y14" s="23">
        <f t="shared" si="6"/>
        <v>0.16</v>
      </c>
      <c r="Z14" s="23">
        <f t="shared" si="6"/>
        <v>0.17</v>
      </c>
      <c r="AA14" s="23">
        <f t="shared" si="6"/>
        <v>0.18000000000000002</v>
      </c>
      <c r="AB14" s="23">
        <f t="shared" si="6"/>
        <v>0.19000000000000003</v>
      </c>
      <c r="AC14" s="23">
        <f t="shared" si="6"/>
        <v>0.20000000000000004</v>
      </c>
      <c r="AD14" s="23">
        <f t="shared" si="6"/>
        <v>0.21000000000000005</v>
      </c>
      <c r="AE14" s="23">
        <f t="shared" si="6"/>
        <v>0.22000000000000006</v>
      </c>
      <c r="AF14" s="23">
        <f t="shared" si="6"/>
        <v>0.23000000000000007</v>
      </c>
      <c r="AG14" s="23">
        <f t="shared" si="6"/>
        <v>0.24000000000000007</v>
      </c>
      <c r="AH14" s="23">
        <f t="shared" si="6"/>
        <v>0.25000000000000006</v>
      </c>
      <c r="AI14" s="23">
        <f t="shared" si="6"/>
        <v>0.26000000000000006</v>
      </c>
    </row>
    <row r="15" spans="1:35">
      <c r="A15" s="20">
        <v>41564</v>
      </c>
      <c r="B15" s="18">
        <v>123458</v>
      </c>
      <c r="C15" s="18" t="s">
        <v>162</v>
      </c>
      <c r="D15" s="21" t="s">
        <v>166</v>
      </c>
      <c r="E15" s="18" t="s">
        <v>90</v>
      </c>
      <c r="F15" s="18" t="s">
        <v>81</v>
      </c>
      <c r="G15" s="18" t="s">
        <v>176</v>
      </c>
      <c r="H15" s="18">
        <v>3</v>
      </c>
      <c r="I15" s="18">
        <v>14</v>
      </c>
      <c r="J15" s="18">
        <f t="shared" si="0"/>
        <v>42</v>
      </c>
      <c r="K15" s="18" t="s">
        <v>174</v>
      </c>
      <c r="N15">
        <v>5</v>
      </c>
      <c r="O15" s="24">
        <f t="shared" si="7"/>
        <v>7.0000000000000007E-2</v>
      </c>
      <c r="P15" s="23">
        <f t="shared" si="6"/>
        <v>0.08</v>
      </c>
      <c r="Q15" s="23">
        <f t="shared" si="6"/>
        <v>0.09</v>
      </c>
      <c r="R15" s="23">
        <f t="shared" si="6"/>
        <v>9.9999999999999992E-2</v>
      </c>
      <c r="S15" s="23">
        <f t="shared" si="6"/>
        <v>0.10999999999999999</v>
      </c>
      <c r="T15" s="23">
        <f t="shared" si="6"/>
        <v>0.11999999999999998</v>
      </c>
      <c r="U15" s="23">
        <f t="shared" si="6"/>
        <v>0.12999999999999998</v>
      </c>
      <c r="V15" s="23">
        <f t="shared" si="6"/>
        <v>0.13999999999999999</v>
      </c>
      <c r="W15" s="23">
        <f t="shared" si="6"/>
        <v>0.15</v>
      </c>
      <c r="X15" s="23">
        <f t="shared" si="6"/>
        <v>0.16</v>
      </c>
      <c r="Y15" s="23">
        <f t="shared" si="6"/>
        <v>0.17</v>
      </c>
      <c r="Z15" s="23">
        <f t="shared" si="6"/>
        <v>0.18000000000000002</v>
      </c>
      <c r="AA15" s="23">
        <f t="shared" si="6"/>
        <v>0.19000000000000003</v>
      </c>
      <c r="AB15" s="23">
        <f t="shared" si="6"/>
        <v>0.20000000000000004</v>
      </c>
      <c r="AC15" s="23">
        <f t="shared" si="6"/>
        <v>0.21000000000000005</v>
      </c>
      <c r="AD15" s="23">
        <f t="shared" si="6"/>
        <v>0.22000000000000006</v>
      </c>
      <c r="AE15" s="23">
        <f t="shared" si="6"/>
        <v>0.23000000000000007</v>
      </c>
      <c r="AF15" s="23">
        <f t="shared" si="6"/>
        <v>0.24000000000000007</v>
      </c>
      <c r="AG15" s="23">
        <f t="shared" si="6"/>
        <v>0.25000000000000006</v>
      </c>
      <c r="AH15" s="23">
        <f t="shared" si="6"/>
        <v>0.26000000000000006</v>
      </c>
      <c r="AI15" s="23">
        <f t="shared" si="6"/>
        <v>0.27000000000000007</v>
      </c>
    </row>
    <row r="16" spans="1:35">
      <c r="A16" s="20">
        <v>41564</v>
      </c>
      <c r="B16" s="18">
        <v>123462</v>
      </c>
      <c r="C16" s="18" t="s">
        <v>178</v>
      </c>
      <c r="D16" s="21" t="s">
        <v>164</v>
      </c>
      <c r="E16" s="18" t="s">
        <v>92</v>
      </c>
      <c r="F16" s="18" t="s">
        <v>81</v>
      </c>
      <c r="G16" s="18" t="s">
        <v>176</v>
      </c>
      <c r="H16" s="18">
        <v>7</v>
      </c>
      <c r="I16" s="18">
        <v>6.85</v>
      </c>
      <c r="J16" s="18">
        <f t="shared" si="0"/>
        <v>47.949999999999996</v>
      </c>
      <c r="K16" s="18" t="s">
        <v>174</v>
      </c>
      <c r="N16">
        <v>6</v>
      </c>
      <c r="O16" s="24">
        <f t="shared" si="7"/>
        <v>0.08</v>
      </c>
      <c r="P16" s="23">
        <f t="shared" si="6"/>
        <v>0.09</v>
      </c>
      <c r="Q16" s="23">
        <f t="shared" si="6"/>
        <v>9.9999999999999992E-2</v>
      </c>
      <c r="R16" s="23">
        <f t="shared" si="6"/>
        <v>0.10999999999999999</v>
      </c>
      <c r="S16" s="23">
        <f t="shared" si="6"/>
        <v>0.11999999999999998</v>
      </c>
      <c r="T16" s="23">
        <f t="shared" si="6"/>
        <v>0.12999999999999998</v>
      </c>
      <c r="U16" s="23">
        <f t="shared" si="6"/>
        <v>0.13999999999999999</v>
      </c>
      <c r="V16" s="23">
        <f t="shared" si="6"/>
        <v>0.15</v>
      </c>
      <c r="W16" s="23">
        <f t="shared" si="6"/>
        <v>0.16</v>
      </c>
      <c r="X16" s="23">
        <f t="shared" si="6"/>
        <v>0.17</v>
      </c>
      <c r="Y16" s="23">
        <f t="shared" si="6"/>
        <v>0.18000000000000002</v>
      </c>
      <c r="Z16" s="23">
        <f t="shared" si="6"/>
        <v>0.19000000000000003</v>
      </c>
      <c r="AA16" s="23">
        <f t="shared" si="6"/>
        <v>0.20000000000000004</v>
      </c>
      <c r="AB16" s="23">
        <f t="shared" si="6"/>
        <v>0.21000000000000005</v>
      </c>
      <c r="AC16" s="23">
        <f t="shared" si="6"/>
        <v>0.22000000000000006</v>
      </c>
      <c r="AD16" s="23">
        <f t="shared" si="6"/>
        <v>0.23000000000000007</v>
      </c>
      <c r="AE16" s="23">
        <f t="shared" si="6"/>
        <v>0.24000000000000007</v>
      </c>
      <c r="AF16" s="23">
        <f t="shared" si="6"/>
        <v>0.25000000000000006</v>
      </c>
      <c r="AG16" s="23">
        <f t="shared" si="6"/>
        <v>0.26000000000000006</v>
      </c>
      <c r="AH16" s="23">
        <f t="shared" si="6"/>
        <v>0.27000000000000007</v>
      </c>
      <c r="AI16" s="23">
        <f t="shared" si="6"/>
        <v>0.28000000000000008</v>
      </c>
    </row>
    <row r="17" spans="1:35">
      <c r="A17" s="20">
        <v>41564</v>
      </c>
      <c r="B17" s="18">
        <v>123459</v>
      </c>
      <c r="C17" s="18" t="s">
        <v>171</v>
      </c>
      <c r="D17" s="21" t="s">
        <v>152</v>
      </c>
      <c r="E17" s="18" t="s">
        <v>78</v>
      </c>
      <c r="F17" s="18" t="s">
        <v>81</v>
      </c>
      <c r="G17" s="18" t="s">
        <v>176</v>
      </c>
      <c r="H17" s="18">
        <v>4</v>
      </c>
      <c r="I17" s="18">
        <v>20</v>
      </c>
      <c r="J17" s="18">
        <f t="shared" si="0"/>
        <v>80</v>
      </c>
      <c r="K17" s="18" t="s">
        <v>155</v>
      </c>
      <c r="N17">
        <v>7</v>
      </c>
      <c r="O17" s="24">
        <f t="shared" si="7"/>
        <v>0.09</v>
      </c>
      <c r="P17" s="23">
        <f t="shared" si="6"/>
        <v>9.9999999999999992E-2</v>
      </c>
      <c r="Q17" s="23">
        <f t="shared" si="6"/>
        <v>0.10999999999999999</v>
      </c>
      <c r="R17" s="23">
        <f t="shared" si="6"/>
        <v>0.11999999999999998</v>
      </c>
      <c r="S17" s="23">
        <f t="shared" si="6"/>
        <v>0.12999999999999998</v>
      </c>
      <c r="T17" s="23">
        <f t="shared" si="6"/>
        <v>0.13999999999999999</v>
      </c>
      <c r="U17" s="23">
        <f t="shared" si="6"/>
        <v>0.15</v>
      </c>
      <c r="V17" s="23">
        <f t="shared" si="6"/>
        <v>0.16</v>
      </c>
      <c r="W17" s="23">
        <f t="shared" si="6"/>
        <v>0.17</v>
      </c>
      <c r="X17" s="23">
        <f t="shared" si="6"/>
        <v>0.18000000000000002</v>
      </c>
      <c r="Y17" s="23">
        <f t="shared" si="6"/>
        <v>0.19000000000000003</v>
      </c>
      <c r="Z17" s="23">
        <f t="shared" si="6"/>
        <v>0.20000000000000004</v>
      </c>
      <c r="AA17" s="23">
        <f t="shared" si="6"/>
        <v>0.21000000000000005</v>
      </c>
      <c r="AB17" s="23">
        <f t="shared" si="6"/>
        <v>0.22000000000000006</v>
      </c>
      <c r="AC17" s="23">
        <f t="shared" si="6"/>
        <v>0.23000000000000007</v>
      </c>
      <c r="AD17" s="23">
        <f t="shared" si="6"/>
        <v>0.24000000000000007</v>
      </c>
      <c r="AE17" s="23">
        <f t="shared" si="6"/>
        <v>0.25000000000000006</v>
      </c>
      <c r="AF17" s="23">
        <f t="shared" si="6"/>
        <v>0.26000000000000006</v>
      </c>
      <c r="AG17" s="23">
        <f t="shared" si="6"/>
        <v>0.27000000000000007</v>
      </c>
      <c r="AH17" s="23">
        <f t="shared" si="6"/>
        <v>0.28000000000000008</v>
      </c>
      <c r="AI17" s="23">
        <f t="shared" si="6"/>
        <v>0.29000000000000009</v>
      </c>
    </row>
    <row r="18" spans="1:35">
      <c r="A18" s="20">
        <v>41619</v>
      </c>
      <c r="B18" s="18">
        <v>123487</v>
      </c>
      <c r="C18" s="18" t="s">
        <v>151</v>
      </c>
      <c r="D18" s="21" t="s">
        <v>152</v>
      </c>
      <c r="E18" s="18" t="s">
        <v>109</v>
      </c>
      <c r="F18" s="18" t="s">
        <v>81</v>
      </c>
      <c r="G18" s="18" t="s">
        <v>179</v>
      </c>
      <c r="H18" s="18">
        <v>32</v>
      </c>
      <c r="I18" s="18">
        <v>0.7</v>
      </c>
      <c r="J18" s="18">
        <f t="shared" si="0"/>
        <v>22.4</v>
      </c>
      <c r="K18" s="18" t="s">
        <v>174</v>
      </c>
      <c r="N18">
        <v>8</v>
      </c>
      <c r="O18" s="24">
        <f t="shared" si="7"/>
        <v>9.9999999999999992E-2</v>
      </c>
      <c r="P18" s="23">
        <f t="shared" si="6"/>
        <v>0.10999999999999999</v>
      </c>
      <c r="Q18" s="23">
        <f t="shared" si="6"/>
        <v>0.11999999999999998</v>
      </c>
      <c r="R18" s="23">
        <f t="shared" si="6"/>
        <v>0.12999999999999998</v>
      </c>
      <c r="S18" s="23">
        <f t="shared" si="6"/>
        <v>0.13999999999999999</v>
      </c>
      <c r="T18" s="23">
        <f t="shared" si="6"/>
        <v>0.15</v>
      </c>
      <c r="U18" s="23">
        <f t="shared" si="6"/>
        <v>0.16</v>
      </c>
      <c r="V18" s="23">
        <f t="shared" si="6"/>
        <v>0.17</v>
      </c>
      <c r="W18" s="23">
        <f t="shared" si="6"/>
        <v>0.18000000000000002</v>
      </c>
      <c r="X18" s="23">
        <f t="shared" si="6"/>
        <v>0.19000000000000003</v>
      </c>
      <c r="Y18" s="23">
        <f t="shared" si="6"/>
        <v>0.20000000000000004</v>
      </c>
      <c r="Z18" s="23">
        <f t="shared" si="6"/>
        <v>0.21000000000000005</v>
      </c>
      <c r="AA18" s="23">
        <f t="shared" si="6"/>
        <v>0.22000000000000006</v>
      </c>
      <c r="AB18" s="23">
        <f t="shared" si="6"/>
        <v>0.23000000000000007</v>
      </c>
      <c r="AC18" s="23">
        <f t="shared" si="6"/>
        <v>0.24000000000000007</v>
      </c>
      <c r="AD18" s="23">
        <f t="shared" si="6"/>
        <v>0.25000000000000006</v>
      </c>
      <c r="AE18" s="23">
        <f t="shared" si="6"/>
        <v>0.26000000000000006</v>
      </c>
      <c r="AF18" s="23">
        <f t="shared" si="6"/>
        <v>0.27000000000000007</v>
      </c>
      <c r="AG18" s="23">
        <f t="shared" si="6"/>
        <v>0.28000000000000008</v>
      </c>
      <c r="AH18" s="23">
        <f t="shared" si="6"/>
        <v>0.29000000000000009</v>
      </c>
      <c r="AI18" s="23">
        <f t="shared" si="6"/>
        <v>0.3000000000000001</v>
      </c>
    </row>
    <row r="19" spans="1:35">
      <c r="A19" s="20">
        <v>41564</v>
      </c>
      <c r="B19" s="18">
        <v>123465</v>
      </c>
      <c r="C19" s="18" t="s">
        <v>151</v>
      </c>
      <c r="D19" s="21" t="s">
        <v>170</v>
      </c>
      <c r="E19" s="18" t="s">
        <v>111</v>
      </c>
      <c r="F19" s="18" t="s">
        <v>81</v>
      </c>
      <c r="G19" s="18" t="s">
        <v>179</v>
      </c>
      <c r="H19" s="18">
        <v>3</v>
      </c>
      <c r="I19" s="18">
        <v>0.45</v>
      </c>
      <c r="J19" s="18">
        <f t="shared" si="0"/>
        <v>1.35</v>
      </c>
      <c r="K19" s="18" t="s">
        <v>158</v>
      </c>
      <c r="N19">
        <v>9</v>
      </c>
      <c r="O19" s="24">
        <f t="shared" si="7"/>
        <v>0.10999999999999999</v>
      </c>
      <c r="P19" s="23">
        <f t="shared" si="6"/>
        <v>0.11999999999999998</v>
      </c>
      <c r="Q19" s="23">
        <f t="shared" si="6"/>
        <v>0.12999999999999998</v>
      </c>
      <c r="R19" s="23">
        <f t="shared" si="6"/>
        <v>0.13999999999999999</v>
      </c>
      <c r="S19" s="23">
        <f t="shared" si="6"/>
        <v>0.15</v>
      </c>
      <c r="T19" s="23">
        <f t="shared" si="6"/>
        <v>0.16</v>
      </c>
      <c r="U19" s="23">
        <f t="shared" si="6"/>
        <v>0.17</v>
      </c>
      <c r="V19" s="23">
        <f t="shared" si="6"/>
        <v>0.18000000000000002</v>
      </c>
      <c r="W19" s="23">
        <f t="shared" si="6"/>
        <v>0.19000000000000003</v>
      </c>
      <c r="X19" s="23">
        <f t="shared" si="6"/>
        <v>0.20000000000000004</v>
      </c>
      <c r="Y19" s="23">
        <f t="shared" si="6"/>
        <v>0.21000000000000005</v>
      </c>
      <c r="Z19" s="23">
        <f t="shared" si="6"/>
        <v>0.22000000000000006</v>
      </c>
      <c r="AA19" s="23">
        <f t="shared" si="6"/>
        <v>0.23000000000000007</v>
      </c>
      <c r="AB19" s="23">
        <f t="shared" si="6"/>
        <v>0.24000000000000007</v>
      </c>
      <c r="AC19" s="23">
        <f t="shared" si="6"/>
        <v>0.25000000000000006</v>
      </c>
      <c r="AD19" s="23">
        <f t="shared" si="6"/>
        <v>0.26000000000000006</v>
      </c>
      <c r="AE19" s="23">
        <f t="shared" si="6"/>
        <v>0.27000000000000007</v>
      </c>
      <c r="AF19" s="23">
        <f t="shared" si="6"/>
        <v>0.28000000000000008</v>
      </c>
      <c r="AG19" s="23">
        <f t="shared" si="6"/>
        <v>0.29000000000000009</v>
      </c>
      <c r="AH19" s="23">
        <f t="shared" si="6"/>
        <v>0.3000000000000001</v>
      </c>
      <c r="AI19" s="23">
        <f t="shared" si="6"/>
        <v>0.31000000000000011</v>
      </c>
    </row>
    <row r="20" spans="1:35">
      <c r="A20" s="20">
        <v>41583</v>
      </c>
      <c r="B20" s="18">
        <v>123475</v>
      </c>
      <c r="C20" s="18" t="s">
        <v>151</v>
      </c>
      <c r="D20" s="21" t="s">
        <v>170</v>
      </c>
      <c r="E20" s="18" t="s">
        <v>111</v>
      </c>
      <c r="F20" s="18" t="s">
        <v>81</v>
      </c>
      <c r="G20" s="18" t="s">
        <v>179</v>
      </c>
      <c r="H20" s="18">
        <v>54</v>
      </c>
      <c r="I20" s="18">
        <v>0.45</v>
      </c>
      <c r="J20" s="18">
        <f t="shared" si="0"/>
        <v>24.3</v>
      </c>
      <c r="K20" s="18" t="s">
        <v>158</v>
      </c>
      <c r="N20">
        <v>10</v>
      </c>
      <c r="O20" s="24">
        <f t="shared" si="7"/>
        <v>0.11999999999999998</v>
      </c>
      <c r="P20" s="23">
        <f t="shared" si="6"/>
        <v>0.12999999999999998</v>
      </c>
      <c r="Q20" s="23">
        <f t="shared" si="6"/>
        <v>0.13999999999999999</v>
      </c>
      <c r="R20" s="23">
        <f t="shared" si="6"/>
        <v>0.15</v>
      </c>
      <c r="S20" s="23">
        <f t="shared" si="6"/>
        <v>0.16</v>
      </c>
      <c r="T20" s="23">
        <f t="shared" si="6"/>
        <v>0.17</v>
      </c>
      <c r="U20" s="23">
        <f t="shared" si="6"/>
        <v>0.18000000000000002</v>
      </c>
      <c r="V20" s="23">
        <f t="shared" si="6"/>
        <v>0.19000000000000003</v>
      </c>
      <c r="W20" s="23">
        <f t="shared" si="6"/>
        <v>0.20000000000000004</v>
      </c>
      <c r="X20" s="23">
        <f t="shared" si="6"/>
        <v>0.21000000000000005</v>
      </c>
      <c r="Y20" s="23">
        <f t="shared" si="6"/>
        <v>0.22000000000000006</v>
      </c>
      <c r="Z20" s="23">
        <f t="shared" si="6"/>
        <v>0.23000000000000007</v>
      </c>
      <c r="AA20" s="23">
        <f t="shared" si="6"/>
        <v>0.24000000000000007</v>
      </c>
      <c r="AB20" s="23">
        <f t="shared" si="6"/>
        <v>0.25000000000000006</v>
      </c>
      <c r="AC20" s="23">
        <f t="shared" si="6"/>
        <v>0.26000000000000006</v>
      </c>
      <c r="AD20" s="23">
        <f t="shared" si="6"/>
        <v>0.27000000000000007</v>
      </c>
      <c r="AE20" s="23">
        <f t="shared" si="6"/>
        <v>0.28000000000000008</v>
      </c>
      <c r="AF20" s="23">
        <f t="shared" si="6"/>
        <v>0.29000000000000009</v>
      </c>
      <c r="AG20" s="23">
        <f t="shared" si="6"/>
        <v>0.3000000000000001</v>
      </c>
      <c r="AH20" s="23">
        <f t="shared" si="6"/>
        <v>0.31000000000000011</v>
      </c>
      <c r="AI20" s="23">
        <f t="shared" si="6"/>
        <v>0.32000000000000012</v>
      </c>
    </row>
    <row r="21" spans="1:35">
      <c r="A21" s="20">
        <v>41614</v>
      </c>
      <c r="B21" s="18">
        <v>123482</v>
      </c>
      <c r="C21" s="18" t="s">
        <v>151</v>
      </c>
      <c r="D21" s="21" t="s">
        <v>164</v>
      </c>
      <c r="E21" s="18" t="s">
        <v>109</v>
      </c>
      <c r="F21" s="18" t="s">
        <v>81</v>
      </c>
      <c r="G21" s="18" t="s">
        <v>179</v>
      </c>
      <c r="H21" s="18">
        <v>4</v>
      </c>
      <c r="I21" s="18">
        <v>0.7</v>
      </c>
      <c r="J21" s="18">
        <f t="shared" si="0"/>
        <v>2.8</v>
      </c>
      <c r="K21" s="18" t="s">
        <v>158</v>
      </c>
      <c r="N21">
        <v>11</v>
      </c>
      <c r="O21" s="24">
        <f t="shared" si="7"/>
        <v>0.12999999999999998</v>
      </c>
      <c r="P21" s="23">
        <f t="shared" si="6"/>
        <v>0.13999999999999999</v>
      </c>
      <c r="Q21" s="23">
        <f t="shared" si="6"/>
        <v>0.15</v>
      </c>
      <c r="R21" s="23">
        <f t="shared" si="6"/>
        <v>0.16</v>
      </c>
      <c r="S21" s="23">
        <f t="shared" si="6"/>
        <v>0.17</v>
      </c>
      <c r="T21" s="23">
        <f t="shared" si="6"/>
        <v>0.18000000000000002</v>
      </c>
      <c r="U21" s="23">
        <f t="shared" si="6"/>
        <v>0.19000000000000003</v>
      </c>
      <c r="V21" s="23">
        <f t="shared" si="6"/>
        <v>0.20000000000000004</v>
      </c>
      <c r="W21" s="23">
        <f t="shared" si="6"/>
        <v>0.21000000000000005</v>
      </c>
      <c r="X21" s="23">
        <f t="shared" si="6"/>
        <v>0.22000000000000006</v>
      </c>
      <c r="Y21" s="23">
        <f t="shared" si="6"/>
        <v>0.23000000000000007</v>
      </c>
      <c r="Z21" s="23">
        <f t="shared" si="6"/>
        <v>0.24000000000000007</v>
      </c>
      <c r="AA21" s="23">
        <f t="shared" si="6"/>
        <v>0.25000000000000006</v>
      </c>
      <c r="AB21" s="23">
        <f t="shared" si="6"/>
        <v>0.26000000000000006</v>
      </c>
      <c r="AC21" s="23">
        <f t="shared" si="6"/>
        <v>0.27000000000000007</v>
      </c>
      <c r="AD21" s="23">
        <f t="shared" si="6"/>
        <v>0.28000000000000008</v>
      </c>
      <c r="AE21" s="23">
        <f t="shared" si="6"/>
        <v>0.29000000000000009</v>
      </c>
      <c r="AF21" s="23">
        <f t="shared" si="6"/>
        <v>0.3000000000000001</v>
      </c>
      <c r="AG21" s="23">
        <f t="shared" si="6"/>
        <v>0.31000000000000011</v>
      </c>
      <c r="AH21" s="23">
        <f t="shared" si="6"/>
        <v>0.32000000000000012</v>
      </c>
      <c r="AI21" s="23">
        <f t="shared" si="6"/>
        <v>0.33000000000000013</v>
      </c>
    </row>
    <row r="22" spans="1:35">
      <c r="A22" s="20">
        <v>41582</v>
      </c>
      <c r="B22" s="18">
        <v>123474</v>
      </c>
      <c r="C22" s="18" t="s">
        <v>151</v>
      </c>
      <c r="D22" s="21" t="s">
        <v>168</v>
      </c>
      <c r="E22" s="18" t="s">
        <v>109</v>
      </c>
      <c r="F22" s="18" t="s">
        <v>81</v>
      </c>
      <c r="G22" s="18" t="s">
        <v>179</v>
      </c>
      <c r="H22" s="18">
        <v>23</v>
      </c>
      <c r="I22" s="18">
        <v>0.7</v>
      </c>
      <c r="J22" s="18">
        <f t="shared" si="0"/>
        <v>16.099999999999998</v>
      </c>
      <c r="K22" s="18" t="s">
        <v>158</v>
      </c>
      <c r="N22">
        <v>12</v>
      </c>
      <c r="O22" s="24">
        <f t="shared" si="7"/>
        <v>0.13999999999999999</v>
      </c>
      <c r="P22" s="23">
        <f t="shared" si="6"/>
        <v>0.15</v>
      </c>
      <c r="Q22" s="23">
        <f t="shared" si="6"/>
        <v>0.16</v>
      </c>
      <c r="R22" s="23">
        <f t="shared" si="6"/>
        <v>0.17</v>
      </c>
      <c r="S22" s="23">
        <f t="shared" si="6"/>
        <v>0.18000000000000002</v>
      </c>
      <c r="T22" s="23">
        <f t="shared" si="6"/>
        <v>0.19000000000000003</v>
      </c>
      <c r="U22" s="23">
        <f t="shared" si="6"/>
        <v>0.20000000000000004</v>
      </c>
      <c r="V22" s="23">
        <f t="shared" si="6"/>
        <v>0.21000000000000005</v>
      </c>
      <c r="W22" s="23">
        <f t="shared" si="6"/>
        <v>0.22000000000000006</v>
      </c>
      <c r="X22" s="23">
        <f t="shared" si="6"/>
        <v>0.23000000000000007</v>
      </c>
      <c r="Y22" s="23">
        <f t="shared" si="6"/>
        <v>0.24000000000000007</v>
      </c>
      <c r="Z22" s="23">
        <f t="shared" si="6"/>
        <v>0.25000000000000006</v>
      </c>
      <c r="AA22" s="23">
        <f t="shared" si="6"/>
        <v>0.26000000000000006</v>
      </c>
      <c r="AB22" s="23">
        <f t="shared" si="6"/>
        <v>0.27000000000000007</v>
      </c>
      <c r="AC22" s="23">
        <f t="shared" si="6"/>
        <v>0.28000000000000008</v>
      </c>
      <c r="AD22" s="23">
        <f t="shared" si="6"/>
        <v>0.29000000000000009</v>
      </c>
      <c r="AE22" s="23">
        <f t="shared" si="6"/>
        <v>0.3000000000000001</v>
      </c>
      <c r="AF22" s="23">
        <f t="shared" si="6"/>
        <v>0.31000000000000011</v>
      </c>
      <c r="AG22" s="23">
        <f t="shared" si="6"/>
        <v>0.32000000000000012</v>
      </c>
      <c r="AH22" s="23">
        <f t="shared" si="6"/>
        <v>0.33000000000000013</v>
      </c>
      <c r="AI22" s="23">
        <f t="shared" si="6"/>
        <v>0.34000000000000014</v>
      </c>
    </row>
    <row r="23" spans="1:35">
      <c r="A23" s="20">
        <v>41618</v>
      </c>
      <c r="B23" s="18">
        <v>123486</v>
      </c>
      <c r="C23" s="18" t="s">
        <v>159</v>
      </c>
      <c r="D23" s="21" t="s">
        <v>152</v>
      </c>
      <c r="E23" s="18" t="s">
        <v>111</v>
      </c>
      <c r="F23" s="18" t="s">
        <v>81</v>
      </c>
      <c r="G23" s="18" t="s">
        <v>179</v>
      </c>
      <c r="H23" s="18">
        <v>43</v>
      </c>
      <c r="I23" s="18">
        <v>0.45</v>
      </c>
      <c r="J23" s="18">
        <f t="shared" si="0"/>
        <v>19.350000000000001</v>
      </c>
      <c r="K23" s="18" t="s">
        <v>158</v>
      </c>
      <c r="N23">
        <v>13</v>
      </c>
      <c r="O23" s="24">
        <f t="shared" si="7"/>
        <v>0.15</v>
      </c>
      <c r="P23" s="23">
        <f t="shared" si="6"/>
        <v>0.16</v>
      </c>
      <c r="Q23" s="23">
        <f t="shared" si="6"/>
        <v>0.17</v>
      </c>
      <c r="R23" s="23">
        <f t="shared" si="6"/>
        <v>0.18000000000000002</v>
      </c>
      <c r="S23" s="23">
        <f t="shared" si="6"/>
        <v>0.19000000000000003</v>
      </c>
      <c r="T23" s="23">
        <f t="shared" si="6"/>
        <v>0.20000000000000004</v>
      </c>
      <c r="U23" s="23">
        <f t="shared" si="6"/>
        <v>0.21000000000000005</v>
      </c>
      <c r="V23" s="23">
        <f t="shared" si="6"/>
        <v>0.22000000000000006</v>
      </c>
      <c r="W23" s="23">
        <f t="shared" si="6"/>
        <v>0.23000000000000007</v>
      </c>
      <c r="X23" s="23">
        <f t="shared" si="6"/>
        <v>0.24000000000000007</v>
      </c>
      <c r="Y23" s="23">
        <f t="shared" si="6"/>
        <v>0.25000000000000006</v>
      </c>
      <c r="Z23" s="23">
        <f t="shared" si="6"/>
        <v>0.26000000000000006</v>
      </c>
      <c r="AA23" s="23">
        <f t="shared" si="6"/>
        <v>0.27000000000000007</v>
      </c>
      <c r="AB23" s="23">
        <f t="shared" si="6"/>
        <v>0.28000000000000008</v>
      </c>
      <c r="AC23" s="23">
        <f t="shared" si="6"/>
        <v>0.29000000000000009</v>
      </c>
      <c r="AD23" s="23">
        <f t="shared" si="6"/>
        <v>0.3000000000000001</v>
      </c>
      <c r="AE23" s="23">
        <f t="shared" ref="AE23:AX23" si="8">AD23+0.01</f>
        <v>0.31000000000000011</v>
      </c>
      <c r="AF23" s="23">
        <f t="shared" si="8"/>
        <v>0.32000000000000012</v>
      </c>
      <c r="AG23" s="23">
        <f t="shared" si="8"/>
        <v>0.33000000000000013</v>
      </c>
      <c r="AH23" s="23">
        <f t="shared" si="8"/>
        <v>0.34000000000000014</v>
      </c>
      <c r="AI23" s="23">
        <f t="shared" si="8"/>
        <v>0.35000000000000014</v>
      </c>
    </row>
    <row r="24" spans="1:35">
      <c r="A24" s="20">
        <v>41584</v>
      </c>
      <c r="B24" s="18">
        <v>123476</v>
      </c>
      <c r="C24" s="18" t="s">
        <v>177</v>
      </c>
      <c r="D24" s="21" t="s">
        <v>152</v>
      </c>
      <c r="E24" s="18" t="s">
        <v>113</v>
      </c>
      <c r="F24" s="18" t="s">
        <v>81</v>
      </c>
      <c r="G24" s="18" t="s">
        <v>179</v>
      </c>
      <c r="H24" s="18">
        <v>65</v>
      </c>
      <c r="I24" s="18">
        <v>2.2000000000000002</v>
      </c>
      <c r="J24" s="18">
        <f t="shared" si="0"/>
        <v>143</v>
      </c>
      <c r="K24" s="18" t="s">
        <v>158</v>
      </c>
      <c r="N24">
        <v>14</v>
      </c>
      <c r="O24" s="24">
        <f t="shared" si="7"/>
        <v>0.16</v>
      </c>
      <c r="P24" s="23">
        <f t="shared" ref="P24:AI30" si="9">O24+0.01</f>
        <v>0.17</v>
      </c>
      <c r="Q24" s="23">
        <f t="shared" si="9"/>
        <v>0.18000000000000002</v>
      </c>
      <c r="R24" s="23">
        <f t="shared" si="9"/>
        <v>0.19000000000000003</v>
      </c>
      <c r="S24" s="23">
        <f t="shared" si="9"/>
        <v>0.20000000000000004</v>
      </c>
      <c r="T24" s="23">
        <f t="shared" si="9"/>
        <v>0.21000000000000005</v>
      </c>
      <c r="U24" s="23">
        <f t="shared" si="9"/>
        <v>0.22000000000000006</v>
      </c>
      <c r="V24" s="23">
        <f t="shared" si="9"/>
        <v>0.23000000000000007</v>
      </c>
      <c r="W24" s="23">
        <f t="shared" si="9"/>
        <v>0.24000000000000007</v>
      </c>
      <c r="X24" s="23">
        <f t="shared" si="9"/>
        <v>0.25000000000000006</v>
      </c>
      <c r="Y24" s="23">
        <f t="shared" si="9"/>
        <v>0.26000000000000006</v>
      </c>
      <c r="Z24" s="23">
        <f t="shared" si="9"/>
        <v>0.27000000000000007</v>
      </c>
      <c r="AA24" s="23">
        <f t="shared" si="9"/>
        <v>0.28000000000000008</v>
      </c>
      <c r="AB24" s="23">
        <f t="shared" si="9"/>
        <v>0.29000000000000009</v>
      </c>
      <c r="AC24" s="23">
        <f t="shared" si="9"/>
        <v>0.3000000000000001</v>
      </c>
      <c r="AD24" s="23">
        <f t="shared" si="9"/>
        <v>0.31000000000000011</v>
      </c>
      <c r="AE24" s="23">
        <f t="shared" si="9"/>
        <v>0.32000000000000012</v>
      </c>
      <c r="AF24" s="23">
        <f t="shared" si="9"/>
        <v>0.33000000000000013</v>
      </c>
      <c r="AG24" s="23">
        <f t="shared" si="9"/>
        <v>0.34000000000000014</v>
      </c>
      <c r="AH24" s="23">
        <f t="shared" si="9"/>
        <v>0.35000000000000014</v>
      </c>
      <c r="AI24" s="23">
        <f t="shared" si="9"/>
        <v>0.36000000000000015</v>
      </c>
    </row>
    <row r="25" spans="1:35">
      <c r="A25" s="20">
        <v>41615</v>
      </c>
      <c r="B25" s="18">
        <v>123483</v>
      </c>
      <c r="C25" s="18" t="s">
        <v>177</v>
      </c>
      <c r="D25" s="21" t="s">
        <v>156</v>
      </c>
      <c r="E25" s="18" t="s">
        <v>111</v>
      </c>
      <c r="F25" s="18" t="s">
        <v>81</v>
      </c>
      <c r="G25" s="18" t="s">
        <v>179</v>
      </c>
      <c r="H25" s="18">
        <v>23</v>
      </c>
      <c r="I25" s="18">
        <v>0.45</v>
      </c>
      <c r="J25" s="18">
        <f t="shared" si="0"/>
        <v>10.35</v>
      </c>
      <c r="K25" s="18" t="s">
        <v>174</v>
      </c>
      <c r="N25">
        <v>15</v>
      </c>
      <c r="O25" s="24">
        <f t="shared" si="7"/>
        <v>0.17</v>
      </c>
      <c r="P25" s="23">
        <f t="shared" si="9"/>
        <v>0.18000000000000002</v>
      </c>
      <c r="Q25" s="23">
        <f t="shared" si="9"/>
        <v>0.19000000000000003</v>
      </c>
      <c r="R25" s="23">
        <f t="shared" si="9"/>
        <v>0.20000000000000004</v>
      </c>
      <c r="S25" s="23">
        <f t="shared" si="9"/>
        <v>0.21000000000000005</v>
      </c>
      <c r="T25" s="23">
        <f t="shared" si="9"/>
        <v>0.22000000000000006</v>
      </c>
      <c r="U25" s="23">
        <f t="shared" si="9"/>
        <v>0.23000000000000007</v>
      </c>
      <c r="V25" s="23">
        <f t="shared" si="9"/>
        <v>0.24000000000000007</v>
      </c>
      <c r="W25" s="23">
        <f t="shared" si="9"/>
        <v>0.25000000000000006</v>
      </c>
      <c r="X25" s="23">
        <f t="shared" si="9"/>
        <v>0.26000000000000006</v>
      </c>
      <c r="Y25" s="23">
        <f t="shared" si="9"/>
        <v>0.27000000000000007</v>
      </c>
      <c r="Z25" s="23">
        <f t="shared" si="9"/>
        <v>0.28000000000000008</v>
      </c>
      <c r="AA25" s="23">
        <f t="shared" si="9"/>
        <v>0.29000000000000009</v>
      </c>
      <c r="AB25" s="23">
        <f t="shared" si="9"/>
        <v>0.3000000000000001</v>
      </c>
      <c r="AC25" s="23">
        <f t="shared" si="9"/>
        <v>0.31000000000000011</v>
      </c>
      <c r="AD25" s="23">
        <f t="shared" si="9"/>
        <v>0.32000000000000012</v>
      </c>
      <c r="AE25" s="23">
        <f t="shared" si="9"/>
        <v>0.33000000000000013</v>
      </c>
      <c r="AF25" s="23">
        <f t="shared" si="9"/>
        <v>0.34000000000000014</v>
      </c>
      <c r="AG25" s="23">
        <f t="shared" si="9"/>
        <v>0.35000000000000014</v>
      </c>
      <c r="AH25" s="23">
        <f t="shared" si="9"/>
        <v>0.36000000000000015</v>
      </c>
      <c r="AI25" s="23">
        <f t="shared" si="9"/>
        <v>0.37000000000000016</v>
      </c>
    </row>
    <row r="26" spans="1:35">
      <c r="A26" s="20">
        <v>41616</v>
      </c>
      <c r="B26" s="18">
        <v>123484</v>
      </c>
      <c r="C26" s="18" t="s">
        <v>162</v>
      </c>
      <c r="D26" s="21" t="s">
        <v>168</v>
      </c>
      <c r="E26" s="18" t="s">
        <v>106</v>
      </c>
      <c r="F26" s="18" t="s">
        <v>81</v>
      </c>
      <c r="G26" s="18" t="s">
        <v>179</v>
      </c>
      <c r="H26" s="18">
        <v>4</v>
      </c>
      <c r="I26" s="18">
        <v>0.6</v>
      </c>
      <c r="J26" s="18">
        <f t="shared" si="0"/>
        <v>2.4</v>
      </c>
      <c r="K26" s="18" t="s">
        <v>155</v>
      </c>
      <c r="N26">
        <v>16</v>
      </c>
      <c r="O26" s="24">
        <f t="shared" si="7"/>
        <v>0.18000000000000002</v>
      </c>
      <c r="P26" s="23">
        <f t="shared" si="9"/>
        <v>0.19000000000000003</v>
      </c>
      <c r="Q26" s="23">
        <f t="shared" si="9"/>
        <v>0.20000000000000004</v>
      </c>
      <c r="R26" s="23">
        <f t="shared" si="9"/>
        <v>0.21000000000000005</v>
      </c>
      <c r="S26" s="23">
        <f t="shared" si="9"/>
        <v>0.22000000000000006</v>
      </c>
      <c r="T26" s="23">
        <f t="shared" si="9"/>
        <v>0.23000000000000007</v>
      </c>
      <c r="U26" s="23">
        <f t="shared" si="9"/>
        <v>0.24000000000000007</v>
      </c>
      <c r="V26" s="23">
        <f t="shared" si="9"/>
        <v>0.25000000000000006</v>
      </c>
      <c r="W26" s="23">
        <f t="shared" si="9"/>
        <v>0.26000000000000006</v>
      </c>
      <c r="X26" s="23">
        <f t="shared" si="9"/>
        <v>0.27000000000000007</v>
      </c>
      <c r="Y26" s="23">
        <f t="shared" si="9"/>
        <v>0.28000000000000008</v>
      </c>
      <c r="Z26" s="23">
        <f t="shared" si="9"/>
        <v>0.29000000000000009</v>
      </c>
      <c r="AA26" s="23">
        <f t="shared" si="9"/>
        <v>0.3000000000000001</v>
      </c>
      <c r="AB26" s="23">
        <f t="shared" si="9"/>
        <v>0.31000000000000011</v>
      </c>
      <c r="AC26" s="23">
        <f t="shared" si="9"/>
        <v>0.32000000000000012</v>
      </c>
      <c r="AD26" s="23">
        <f t="shared" si="9"/>
        <v>0.33000000000000013</v>
      </c>
      <c r="AE26" s="23">
        <f t="shared" si="9"/>
        <v>0.34000000000000014</v>
      </c>
      <c r="AF26" s="23">
        <f t="shared" si="9"/>
        <v>0.35000000000000014</v>
      </c>
      <c r="AG26" s="23">
        <f t="shared" si="9"/>
        <v>0.36000000000000015</v>
      </c>
      <c r="AH26" s="23">
        <f t="shared" si="9"/>
        <v>0.37000000000000016</v>
      </c>
      <c r="AI26" s="23">
        <f t="shared" si="9"/>
        <v>0.38000000000000017</v>
      </c>
    </row>
    <row r="27" spans="1:35">
      <c r="A27" s="20">
        <v>41564</v>
      </c>
      <c r="B27" s="18">
        <v>123464</v>
      </c>
      <c r="C27" s="18" t="s">
        <v>167</v>
      </c>
      <c r="D27" s="21" t="s">
        <v>168</v>
      </c>
      <c r="E27" s="18" t="s">
        <v>109</v>
      </c>
      <c r="F27" s="18" t="s">
        <v>81</v>
      </c>
      <c r="G27" s="18" t="s">
        <v>179</v>
      </c>
      <c r="H27" s="18">
        <v>12</v>
      </c>
      <c r="I27" s="18">
        <v>0.7</v>
      </c>
      <c r="J27" s="18">
        <f t="shared" si="0"/>
        <v>8.3999999999999986</v>
      </c>
      <c r="K27" s="18" t="s">
        <v>158</v>
      </c>
      <c r="N27">
        <v>17</v>
      </c>
      <c r="O27" s="24">
        <f t="shared" si="7"/>
        <v>0.19000000000000003</v>
      </c>
      <c r="P27" s="23">
        <f t="shared" si="9"/>
        <v>0.20000000000000004</v>
      </c>
      <c r="Q27" s="23">
        <f t="shared" si="9"/>
        <v>0.21000000000000005</v>
      </c>
      <c r="R27" s="23">
        <f t="shared" si="9"/>
        <v>0.22000000000000006</v>
      </c>
      <c r="S27" s="23">
        <f t="shared" si="9"/>
        <v>0.23000000000000007</v>
      </c>
      <c r="T27" s="23">
        <f t="shared" si="9"/>
        <v>0.24000000000000007</v>
      </c>
      <c r="U27" s="23">
        <f t="shared" si="9"/>
        <v>0.25000000000000006</v>
      </c>
      <c r="V27" s="23">
        <f t="shared" si="9"/>
        <v>0.26000000000000006</v>
      </c>
      <c r="W27" s="23">
        <f t="shared" si="9"/>
        <v>0.27000000000000007</v>
      </c>
      <c r="X27" s="23">
        <f t="shared" si="9"/>
        <v>0.28000000000000008</v>
      </c>
      <c r="Y27" s="23">
        <f t="shared" si="9"/>
        <v>0.29000000000000009</v>
      </c>
      <c r="Z27" s="23">
        <f t="shared" si="9"/>
        <v>0.3000000000000001</v>
      </c>
      <c r="AA27" s="23">
        <f t="shared" si="9"/>
        <v>0.31000000000000011</v>
      </c>
      <c r="AB27" s="23">
        <f t="shared" si="9"/>
        <v>0.32000000000000012</v>
      </c>
      <c r="AC27" s="23">
        <f t="shared" si="9"/>
        <v>0.33000000000000013</v>
      </c>
      <c r="AD27" s="23">
        <f t="shared" si="9"/>
        <v>0.34000000000000014</v>
      </c>
      <c r="AE27" s="23">
        <f t="shared" si="9"/>
        <v>0.35000000000000014</v>
      </c>
      <c r="AF27" s="23">
        <f t="shared" si="9"/>
        <v>0.36000000000000015</v>
      </c>
      <c r="AG27" s="23">
        <f t="shared" si="9"/>
        <v>0.37000000000000016</v>
      </c>
      <c r="AH27" s="23">
        <f t="shared" si="9"/>
        <v>0.38000000000000017</v>
      </c>
      <c r="AI27" s="23">
        <f t="shared" si="9"/>
        <v>0.39000000000000018</v>
      </c>
    </row>
    <row r="28" spans="1:35">
      <c r="A28" s="20">
        <v>41581</v>
      </c>
      <c r="B28" s="18">
        <v>123473</v>
      </c>
      <c r="C28" s="18" t="s">
        <v>180</v>
      </c>
      <c r="D28" s="21" t="s">
        <v>156</v>
      </c>
      <c r="E28" s="18" t="s">
        <v>106</v>
      </c>
      <c r="F28" s="18" t="s">
        <v>81</v>
      </c>
      <c r="G28" s="18" t="s">
        <v>179</v>
      </c>
      <c r="H28" s="18">
        <v>23</v>
      </c>
      <c r="I28" s="18">
        <v>0.6</v>
      </c>
      <c r="J28" s="18">
        <f t="shared" si="0"/>
        <v>13.799999999999999</v>
      </c>
      <c r="K28" s="18" t="s">
        <v>174</v>
      </c>
      <c r="N28">
        <v>18</v>
      </c>
      <c r="O28" s="24">
        <f t="shared" si="7"/>
        <v>0.20000000000000004</v>
      </c>
      <c r="P28" s="23">
        <f t="shared" si="9"/>
        <v>0.21000000000000005</v>
      </c>
      <c r="Q28" s="23">
        <f t="shared" si="9"/>
        <v>0.22000000000000006</v>
      </c>
      <c r="R28" s="23">
        <f t="shared" si="9"/>
        <v>0.23000000000000007</v>
      </c>
      <c r="S28" s="23">
        <f t="shared" si="9"/>
        <v>0.24000000000000007</v>
      </c>
      <c r="T28" s="23">
        <f t="shared" si="9"/>
        <v>0.25000000000000006</v>
      </c>
      <c r="U28" s="23">
        <f t="shared" si="9"/>
        <v>0.26000000000000006</v>
      </c>
      <c r="V28" s="23">
        <f t="shared" si="9"/>
        <v>0.27000000000000007</v>
      </c>
      <c r="W28" s="23">
        <f t="shared" si="9"/>
        <v>0.28000000000000008</v>
      </c>
      <c r="X28" s="23">
        <f t="shared" si="9"/>
        <v>0.29000000000000009</v>
      </c>
      <c r="Y28" s="23">
        <f t="shared" si="9"/>
        <v>0.3000000000000001</v>
      </c>
      <c r="Z28" s="23">
        <f t="shared" si="9"/>
        <v>0.31000000000000011</v>
      </c>
      <c r="AA28" s="23">
        <f t="shared" si="9"/>
        <v>0.32000000000000012</v>
      </c>
      <c r="AB28" s="23">
        <f t="shared" si="9"/>
        <v>0.33000000000000013</v>
      </c>
      <c r="AC28" s="23">
        <f t="shared" si="9"/>
        <v>0.34000000000000014</v>
      </c>
      <c r="AD28" s="23">
        <f t="shared" si="9"/>
        <v>0.35000000000000014</v>
      </c>
      <c r="AE28" s="23">
        <f t="shared" si="9"/>
        <v>0.36000000000000015</v>
      </c>
      <c r="AF28" s="23">
        <f t="shared" si="9"/>
        <v>0.37000000000000016</v>
      </c>
      <c r="AG28" s="23">
        <f t="shared" si="9"/>
        <v>0.38000000000000017</v>
      </c>
      <c r="AH28" s="23">
        <f t="shared" si="9"/>
        <v>0.39000000000000018</v>
      </c>
      <c r="AI28" s="23">
        <f t="shared" si="9"/>
        <v>0.40000000000000019</v>
      </c>
    </row>
    <row r="29" spans="1:35">
      <c r="A29" s="20">
        <v>41621</v>
      </c>
      <c r="B29" s="18">
        <v>123489</v>
      </c>
      <c r="C29" s="18" t="s">
        <v>181</v>
      </c>
      <c r="D29" s="21" t="s">
        <v>152</v>
      </c>
      <c r="E29" s="18" t="s">
        <v>113</v>
      </c>
      <c r="F29" s="18" t="s">
        <v>81</v>
      </c>
      <c r="G29" s="18" t="s">
        <v>179</v>
      </c>
      <c r="H29" s="18">
        <v>55</v>
      </c>
      <c r="I29" s="18">
        <v>2.2000000000000002</v>
      </c>
      <c r="J29" s="18">
        <f t="shared" si="0"/>
        <v>121.00000000000001</v>
      </c>
      <c r="K29" s="18" t="s">
        <v>158</v>
      </c>
      <c r="N29">
        <v>19</v>
      </c>
      <c r="O29" s="24">
        <f t="shared" si="7"/>
        <v>0.21000000000000005</v>
      </c>
      <c r="P29" s="23">
        <f t="shared" si="9"/>
        <v>0.22000000000000006</v>
      </c>
      <c r="Q29" s="23">
        <f t="shared" si="9"/>
        <v>0.23000000000000007</v>
      </c>
      <c r="R29" s="23">
        <f t="shared" si="9"/>
        <v>0.24000000000000007</v>
      </c>
      <c r="S29" s="23">
        <f t="shared" si="9"/>
        <v>0.25000000000000006</v>
      </c>
      <c r="T29" s="23">
        <f t="shared" si="9"/>
        <v>0.26000000000000006</v>
      </c>
      <c r="U29" s="23">
        <f t="shared" si="9"/>
        <v>0.27000000000000007</v>
      </c>
      <c r="V29" s="23">
        <f t="shared" si="9"/>
        <v>0.28000000000000008</v>
      </c>
      <c r="W29" s="23">
        <f t="shared" si="9"/>
        <v>0.29000000000000009</v>
      </c>
      <c r="X29" s="23">
        <f t="shared" si="9"/>
        <v>0.3000000000000001</v>
      </c>
      <c r="Y29" s="23">
        <f t="shared" si="9"/>
        <v>0.31000000000000011</v>
      </c>
      <c r="Z29" s="23">
        <f t="shared" si="9"/>
        <v>0.32000000000000012</v>
      </c>
      <c r="AA29" s="23">
        <f t="shared" si="9"/>
        <v>0.33000000000000013</v>
      </c>
      <c r="AB29" s="23">
        <f t="shared" si="9"/>
        <v>0.34000000000000014</v>
      </c>
      <c r="AC29" s="23">
        <f t="shared" si="9"/>
        <v>0.35000000000000014</v>
      </c>
      <c r="AD29" s="23">
        <f t="shared" si="9"/>
        <v>0.36000000000000015</v>
      </c>
      <c r="AE29" s="23">
        <f t="shared" si="9"/>
        <v>0.37000000000000016</v>
      </c>
      <c r="AF29" s="23">
        <f t="shared" si="9"/>
        <v>0.38000000000000017</v>
      </c>
      <c r="AG29" s="23">
        <f t="shared" si="9"/>
        <v>0.39000000000000018</v>
      </c>
      <c r="AH29" s="23">
        <f t="shared" si="9"/>
        <v>0.40000000000000019</v>
      </c>
      <c r="AI29" s="23">
        <f t="shared" si="9"/>
        <v>0.4100000000000002</v>
      </c>
    </row>
    <row r="30" spans="1:35">
      <c r="A30" s="20">
        <v>41564</v>
      </c>
      <c r="B30" s="18">
        <v>123463</v>
      </c>
      <c r="C30" s="18" t="s">
        <v>181</v>
      </c>
      <c r="D30" s="21" t="s">
        <v>156</v>
      </c>
      <c r="E30" s="18" t="s">
        <v>106</v>
      </c>
      <c r="F30" s="18" t="s">
        <v>81</v>
      </c>
      <c r="G30" s="18" t="s">
        <v>179</v>
      </c>
      <c r="H30" s="18">
        <v>8</v>
      </c>
      <c r="I30" s="18">
        <v>0.6</v>
      </c>
      <c r="J30" s="18">
        <f t="shared" si="0"/>
        <v>4.8</v>
      </c>
      <c r="K30" s="18" t="s">
        <v>158</v>
      </c>
      <c r="N30">
        <v>20</v>
      </c>
      <c r="O30" s="24">
        <f t="shared" si="7"/>
        <v>0.22000000000000006</v>
      </c>
      <c r="P30" s="23">
        <f t="shared" si="9"/>
        <v>0.23000000000000007</v>
      </c>
      <c r="Q30" s="23">
        <f t="shared" si="9"/>
        <v>0.24000000000000007</v>
      </c>
      <c r="R30" s="23">
        <f t="shared" si="9"/>
        <v>0.25000000000000006</v>
      </c>
      <c r="S30" s="23">
        <f t="shared" si="9"/>
        <v>0.26000000000000006</v>
      </c>
      <c r="T30" s="23">
        <f t="shared" si="9"/>
        <v>0.27000000000000007</v>
      </c>
      <c r="U30" s="23">
        <f t="shared" si="9"/>
        <v>0.28000000000000008</v>
      </c>
      <c r="V30" s="23">
        <f t="shared" si="9"/>
        <v>0.29000000000000009</v>
      </c>
      <c r="W30" s="23">
        <f t="shared" si="9"/>
        <v>0.3000000000000001</v>
      </c>
      <c r="X30" s="23">
        <f t="shared" si="9"/>
        <v>0.31000000000000011</v>
      </c>
      <c r="Y30" s="23">
        <f t="shared" si="9"/>
        <v>0.32000000000000012</v>
      </c>
      <c r="Z30" s="23">
        <f t="shared" si="9"/>
        <v>0.33000000000000013</v>
      </c>
      <c r="AA30" s="23">
        <f t="shared" si="9"/>
        <v>0.34000000000000014</v>
      </c>
      <c r="AB30" s="23">
        <f t="shared" si="9"/>
        <v>0.35000000000000014</v>
      </c>
      <c r="AC30" s="23">
        <f t="shared" si="9"/>
        <v>0.36000000000000015</v>
      </c>
      <c r="AD30" s="23">
        <f t="shared" si="9"/>
        <v>0.37000000000000016</v>
      </c>
      <c r="AE30" s="23">
        <f t="shared" si="9"/>
        <v>0.38000000000000017</v>
      </c>
      <c r="AF30" s="23">
        <f t="shared" si="9"/>
        <v>0.39000000000000018</v>
      </c>
      <c r="AG30" s="23">
        <f t="shared" si="9"/>
        <v>0.40000000000000019</v>
      </c>
      <c r="AH30" s="23">
        <f t="shared" si="9"/>
        <v>0.4100000000000002</v>
      </c>
      <c r="AI30" s="23">
        <f t="shared" si="9"/>
        <v>0.42000000000000021</v>
      </c>
    </row>
    <row r="31" spans="1:35">
      <c r="A31" s="20">
        <v>41613</v>
      </c>
      <c r="B31" s="18">
        <v>123481</v>
      </c>
      <c r="C31" s="18" t="s">
        <v>178</v>
      </c>
      <c r="D31" s="21" t="s">
        <v>152</v>
      </c>
      <c r="E31" s="18" t="s">
        <v>106</v>
      </c>
      <c r="F31" s="18" t="s">
        <v>81</v>
      </c>
      <c r="G31" s="18" t="s">
        <v>179</v>
      </c>
      <c r="H31" s="18">
        <v>3</v>
      </c>
      <c r="I31" s="18">
        <v>0.6</v>
      </c>
      <c r="J31" s="18">
        <f t="shared" si="0"/>
        <v>1.7999999999999998</v>
      </c>
      <c r="K31" s="18" t="s">
        <v>158</v>
      </c>
      <c r="N31"/>
    </row>
    <row r="32" spans="1:35">
      <c r="A32" s="20">
        <v>41620</v>
      </c>
      <c r="B32" s="18">
        <v>123488</v>
      </c>
      <c r="C32" s="18" t="s">
        <v>178</v>
      </c>
      <c r="D32" s="21" t="s">
        <v>166</v>
      </c>
      <c r="E32" s="18" t="s">
        <v>111</v>
      </c>
      <c r="F32" s="18" t="s">
        <v>81</v>
      </c>
      <c r="G32" s="18" t="s">
        <v>179</v>
      </c>
      <c r="H32" s="18">
        <v>3</v>
      </c>
      <c r="I32" s="18">
        <v>0.45</v>
      </c>
      <c r="J32" s="18">
        <f t="shared" si="0"/>
        <v>1.35</v>
      </c>
      <c r="K32" s="18" t="s">
        <v>158</v>
      </c>
      <c r="N32"/>
    </row>
    <row r="33" spans="1:14">
      <c r="A33" s="20">
        <v>41617</v>
      </c>
      <c r="B33" s="18">
        <v>123485</v>
      </c>
      <c r="C33" s="18" t="s">
        <v>171</v>
      </c>
      <c r="D33" s="21" t="s">
        <v>170</v>
      </c>
      <c r="E33" s="18" t="s">
        <v>109</v>
      </c>
      <c r="F33" s="18" t="s">
        <v>81</v>
      </c>
      <c r="G33" s="18" t="s">
        <v>179</v>
      </c>
      <c r="H33" s="18">
        <v>4</v>
      </c>
      <c r="I33" s="18">
        <v>0.7</v>
      </c>
      <c r="J33" s="18">
        <f t="shared" si="0"/>
        <v>2.8</v>
      </c>
      <c r="K33" s="18" t="s">
        <v>158</v>
      </c>
      <c r="N33"/>
    </row>
    <row r="34" spans="1:14">
      <c r="A34" s="20">
        <v>41569</v>
      </c>
      <c r="B34" s="18">
        <v>123470</v>
      </c>
      <c r="C34" s="18" t="s">
        <v>151</v>
      </c>
      <c r="D34" s="21" t="s">
        <v>161</v>
      </c>
      <c r="E34" s="18" t="s">
        <v>115</v>
      </c>
      <c r="F34" s="18" t="s">
        <v>81</v>
      </c>
      <c r="G34" s="18" t="s">
        <v>182</v>
      </c>
      <c r="H34" s="18">
        <v>67</v>
      </c>
      <c r="I34" s="18">
        <v>4</v>
      </c>
      <c r="J34" s="18">
        <f t="shared" si="0"/>
        <v>268</v>
      </c>
      <c r="K34" s="18" t="s">
        <v>155</v>
      </c>
      <c r="N34"/>
    </row>
    <row r="35" spans="1:14">
      <c r="A35" s="20">
        <v>41580</v>
      </c>
      <c r="B35" s="18">
        <v>123472</v>
      </c>
      <c r="C35" s="18" t="s">
        <v>151</v>
      </c>
      <c r="D35" s="21" t="s">
        <v>164</v>
      </c>
      <c r="E35" s="18" t="s">
        <v>122</v>
      </c>
      <c r="F35" s="18" t="s">
        <v>81</v>
      </c>
      <c r="G35" s="18" t="s">
        <v>182</v>
      </c>
      <c r="H35" s="18">
        <v>4</v>
      </c>
      <c r="I35" s="18">
        <v>23</v>
      </c>
      <c r="J35" s="18">
        <f t="shared" si="0"/>
        <v>92</v>
      </c>
      <c r="K35" s="18" t="s">
        <v>158</v>
      </c>
      <c r="N35"/>
    </row>
    <row r="36" spans="1:14">
      <c r="A36" s="20">
        <v>41634</v>
      </c>
      <c r="B36" s="18">
        <v>123502</v>
      </c>
      <c r="C36" s="18" t="s">
        <v>177</v>
      </c>
      <c r="D36" s="21" t="s">
        <v>164</v>
      </c>
      <c r="E36" s="18" t="s">
        <v>115</v>
      </c>
      <c r="F36" s="18" t="s">
        <v>81</v>
      </c>
      <c r="G36" s="18" t="s">
        <v>182</v>
      </c>
      <c r="H36" s="18">
        <v>3</v>
      </c>
      <c r="I36" s="18">
        <v>4</v>
      </c>
      <c r="J36" s="18">
        <f t="shared" si="0"/>
        <v>12</v>
      </c>
      <c r="K36" s="18" t="s">
        <v>155</v>
      </c>
      <c r="N36"/>
    </row>
    <row r="37" spans="1:14">
      <c r="A37" s="20">
        <v>41635</v>
      </c>
      <c r="B37" s="18">
        <v>123503</v>
      </c>
      <c r="C37" s="18" t="s">
        <v>162</v>
      </c>
      <c r="D37" s="21" t="s">
        <v>156</v>
      </c>
      <c r="E37" s="18" t="s">
        <v>118</v>
      </c>
      <c r="F37" s="18" t="s">
        <v>81</v>
      </c>
      <c r="G37" s="18" t="s">
        <v>182</v>
      </c>
      <c r="H37" s="18">
        <v>100</v>
      </c>
      <c r="I37" s="18">
        <v>15</v>
      </c>
      <c r="J37" s="18">
        <f t="shared" si="0"/>
        <v>1500</v>
      </c>
      <c r="K37" s="18" t="s">
        <v>158</v>
      </c>
      <c r="N37"/>
    </row>
    <row r="38" spans="1:14">
      <c r="A38" s="20">
        <v>41579</v>
      </c>
      <c r="B38" s="18">
        <v>123471</v>
      </c>
      <c r="C38" s="18" t="s">
        <v>183</v>
      </c>
      <c r="D38" s="21" t="s">
        <v>152</v>
      </c>
      <c r="E38" s="18" t="s">
        <v>118</v>
      </c>
      <c r="F38" s="18" t="s">
        <v>81</v>
      </c>
      <c r="G38" s="18" t="s">
        <v>182</v>
      </c>
      <c r="H38" s="18">
        <v>8</v>
      </c>
      <c r="I38" s="18">
        <v>15</v>
      </c>
      <c r="J38" s="18">
        <f t="shared" si="0"/>
        <v>120</v>
      </c>
      <c r="K38" s="18" t="s">
        <v>158</v>
      </c>
      <c r="N38"/>
    </row>
    <row r="39" spans="1:14">
      <c r="A39" s="20">
        <v>41566</v>
      </c>
      <c r="B39" s="18">
        <v>123467</v>
      </c>
      <c r="C39" s="18" t="s">
        <v>151</v>
      </c>
      <c r="D39" s="21" t="s">
        <v>152</v>
      </c>
      <c r="E39" s="18" t="s">
        <v>124</v>
      </c>
      <c r="F39" s="18" t="s">
        <v>81</v>
      </c>
      <c r="G39" s="18" t="s">
        <v>126</v>
      </c>
      <c r="H39" s="18">
        <v>5</v>
      </c>
      <c r="I39" s="18">
        <v>23.4</v>
      </c>
      <c r="J39" s="18">
        <f t="shared" si="0"/>
        <v>117</v>
      </c>
      <c r="K39" s="18" t="s">
        <v>158</v>
      </c>
      <c r="N39"/>
    </row>
    <row r="40" spans="1:14">
      <c r="A40" s="20">
        <v>41633</v>
      </c>
      <c r="B40" s="18">
        <v>123501</v>
      </c>
      <c r="C40" s="18" t="s">
        <v>151</v>
      </c>
      <c r="D40" s="21" t="s">
        <v>152</v>
      </c>
      <c r="E40" s="18" t="s">
        <v>127</v>
      </c>
      <c r="F40" s="18" t="s">
        <v>81</v>
      </c>
      <c r="G40" s="18" t="s">
        <v>126</v>
      </c>
      <c r="H40" s="18">
        <v>4</v>
      </c>
      <c r="I40" s="18">
        <v>90</v>
      </c>
      <c r="J40" s="18">
        <f t="shared" si="0"/>
        <v>360</v>
      </c>
      <c r="K40" s="18" t="s">
        <v>158</v>
      </c>
      <c r="N40"/>
    </row>
    <row r="41" spans="1:14">
      <c r="A41" s="20">
        <v>41568</v>
      </c>
      <c r="B41" s="18">
        <v>123469</v>
      </c>
      <c r="C41" s="18" t="s">
        <v>184</v>
      </c>
      <c r="D41" s="21" t="s">
        <v>152</v>
      </c>
      <c r="E41" s="18" t="s">
        <v>127</v>
      </c>
      <c r="F41" s="18" t="s">
        <v>81</v>
      </c>
      <c r="G41" s="18" t="s">
        <v>126</v>
      </c>
      <c r="H41" s="18">
        <v>9</v>
      </c>
      <c r="I41" s="18">
        <v>90</v>
      </c>
      <c r="J41" s="18">
        <f t="shared" si="0"/>
        <v>810</v>
      </c>
      <c r="K41" s="18" t="s">
        <v>174</v>
      </c>
      <c r="N41"/>
    </row>
    <row r="42" spans="1:14">
      <c r="A42" s="20">
        <v>41565</v>
      </c>
      <c r="B42" s="18">
        <v>123466</v>
      </c>
      <c r="C42" s="18" t="s">
        <v>169</v>
      </c>
      <c r="D42" s="21" t="s">
        <v>152</v>
      </c>
      <c r="E42" s="18" t="s">
        <v>133</v>
      </c>
      <c r="F42" s="18" t="s">
        <v>81</v>
      </c>
      <c r="G42" s="18" t="s">
        <v>126</v>
      </c>
      <c r="H42" s="18">
        <v>4</v>
      </c>
      <c r="I42" s="18">
        <v>23.6</v>
      </c>
      <c r="J42" s="18">
        <f t="shared" si="0"/>
        <v>94.4</v>
      </c>
      <c r="K42" s="18" t="s">
        <v>155</v>
      </c>
      <c r="N42"/>
    </row>
    <row r="43" spans="1:14">
      <c r="A43" s="20">
        <v>41567</v>
      </c>
      <c r="B43" s="18">
        <v>123468</v>
      </c>
      <c r="C43" s="18" t="s">
        <v>172</v>
      </c>
      <c r="D43" s="21" t="s">
        <v>166</v>
      </c>
      <c r="E43" s="18" t="s">
        <v>129</v>
      </c>
      <c r="F43" s="18" t="s">
        <v>81</v>
      </c>
      <c r="G43" s="18" t="s">
        <v>126</v>
      </c>
      <c r="H43" s="18">
        <v>23</v>
      </c>
      <c r="I43" s="18">
        <v>40.9</v>
      </c>
      <c r="J43" s="18">
        <f t="shared" si="0"/>
        <v>940.69999999999993</v>
      </c>
      <c r="K43" s="18" t="s">
        <v>158</v>
      </c>
      <c r="N43"/>
    </row>
    <row r="44" spans="1:14">
      <c r="A44" s="20">
        <v>41628</v>
      </c>
      <c r="B44" s="18">
        <v>123496</v>
      </c>
      <c r="C44" s="18" t="s">
        <v>151</v>
      </c>
      <c r="D44" s="21" t="s">
        <v>152</v>
      </c>
      <c r="E44" s="18" t="s">
        <v>104</v>
      </c>
      <c r="F44" s="18" t="s">
        <v>81</v>
      </c>
      <c r="G44" s="18" t="s">
        <v>185</v>
      </c>
      <c r="H44" s="18">
        <v>5</v>
      </c>
      <c r="I44" s="18">
        <v>2.2999999999999998</v>
      </c>
      <c r="J44" s="18">
        <f t="shared" si="0"/>
        <v>11.5</v>
      </c>
      <c r="K44" s="18" t="s">
        <v>158</v>
      </c>
      <c r="N44"/>
    </row>
    <row r="45" spans="1:14">
      <c r="A45" s="20">
        <v>41630</v>
      </c>
      <c r="B45" s="18">
        <v>123498</v>
      </c>
      <c r="C45" s="18" t="s">
        <v>151</v>
      </c>
      <c r="D45" s="21" t="s">
        <v>166</v>
      </c>
      <c r="E45" s="18" t="s">
        <v>96</v>
      </c>
      <c r="F45" s="18" t="s">
        <v>81</v>
      </c>
      <c r="G45" s="18" t="s">
        <v>185</v>
      </c>
      <c r="H45" s="18">
        <v>5</v>
      </c>
      <c r="I45" s="18">
        <v>3.4</v>
      </c>
      <c r="J45" s="18">
        <f t="shared" si="0"/>
        <v>17</v>
      </c>
      <c r="K45" s="18" t="s">
        <v>174</v>
      </c>
      <c r="N45"/>
    </row>
    <row r="46" spans="1:14">
      <c r="A46" s="20">
        <v>41632</v>
      </c>
      <c r="B46" s="18">
        <v>123500</v>
      </c>
      <c r="C46" s="18" t="s">
        <v>151</v>
      </c>
      <c r="D46" s="21" t="s">
        <v>161</v>
      </c>
      <c r="E46" s="18" t="s">
        <v>100</v>
      </c>
      <c r="F46" s="18" t="s">
        <v>81</v>
      </c>
      <c r="G46" s="18" t="s">
        <v>185</v>
      </c>
      <c r="H46" s="18">
        <v>5</v>
      </c>
      <c r="I46" s="18">
        <v>3.5</v>
      </c>
      <c r="J46" s="18">
        <f t="shared" si="0"/>
        <v>17.5</v>
      </c>
      <c r="K46" s="18" t="s">
        <v>158</v>
      </c>
      <c r="N46"/>
    </row>
    <row r="47" spans="1:14">
      <c r="A47" s="20">
        <v>41631</v>
      </c>
      <c r="B47" s="18">
        <v>123499</v>
      </c>
      <c r="C47" s="18" t="s">
        <v>180</v>
      </c>
      <c r="D47" s="21" t="s">
        <v>152</v>
      </c>
      <c r="E47" s="18" t="s">
        <v>98</v>
      </c>
      <c r="F47" s="18" t="s">
        <v>81</v>
      </c>
      <c r="G47" s="18" t="s">
        <v>185</v>
      </c>
      <c r="H47" s="18">
        <v>5</v>
      </c>
      <c r="I47" s="18">
        <v>4.5</v>
      </c>
      <c r="J47" s="18">
        <f t="shared" si="0"/>
        <v>22.5</v>
      </c>
      <c r="K47" s="18" t="s">
        <v>158</v>
      </c>
      <c r="N47"/>
    </row>
    <row r="48" spans="1:14">
      <c r="A48" s="20">
        <v>41627</v>
      </c>
      <c r="B48" s="18">
        <v>123495</v>
      </c>
      <c r="C48" s="18" t="s">
        <v>184</v>
      </c>
      <c r="D48" s="21" t="s">
        <v>170</v>
      </c>
      <c r="E48" s="18" t="s">
        <v>102</v>
      </c>
      <c r="F48" s="18" t="s">
        <v>81</v>
      </c>
      <c r="G48" s="18" t="s">
        <v>185</v>
      </c>
      <c r="H48" s="18">
        <v>6</v>
      </c>
      <c r="I48" s="18">
        <v>1</v>
      </c>
      <c r="J48" s="18">
        <f t="shared" si="0"/>
        <v>6</v>
      </c>
      <c r="K48" s="18" t="s">
        <v>155</v>
      </c>
      <c r="N48"/>
    </row>
    <row r="49" spans="1:11">
      <c r="A49" s="20">
        <v>41629</v>
      </c>
      <c r="B49" s="18">
        <v>123497</v>
      </c>
      <c r="C49" s="18" t="s">
        <v>183</v>
      </c>
      <c r="D49" s="21" t="s">
        <v>152</v>
      </c>
      <c r="E49" s="18" t="s">
        <v>94</v>
      </c>
      <c r="F49" s="18" t="s">
        <v>81</v>
      </c>
      <c r="G49" s="18" t="s">
        <v>185</v>
      </c>
      <c r="H49" s="18">
        <v>5</v>
      </c>
      <c r="I49" s="18">
        <v>3</v>
      </c>
      <c r="J49" s="18">
        <f t="shared" si="0"/>
        <v>15</v>
      </c>
      <c r="K49" s="18" t="s">
        <v>158</v>
      </c>
    </row>
  </sheetData>
  <conditionalFormatting sqref="S2:S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{F13B37B1-74C7-43BD-BDAA-39CC788DD664}</x14:id>
        </ext>
      </extLst>
    </cfRule>
  </conditionalFormatting>
  <conditionalFormatting sqref="T2:T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{92E52894-17B5-4BE7-8932-25E3696781BF}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3B37B1-74C7-43BD-BDAA-39CC788DD6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S2:S8</xm:sqref>
        </x14:conditionalFormatting>
        <x14:conditionalFormatting xmlns:xm="http://schemas.microsoft.com/office/excel/2006/main">
          <x14:cfRule type="dataBar" id="{92E52894-17B5-4BE7-8932-25E3696781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T2:T8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G46"/>
  <sheetViews>
    <sheetView workbookViewId="0">
      <selection activeCell="F1" sqref="F1:F1048576"/>
    </sheetView>
  </sheetViews>
  <sheetFormatPr defaultRowHeight="15"/>
  <cols>
    <col min="1" max="1" width="9.140625" style="27"/>
    <col min="2" max="2" width="10.140625" style="25" bestFit="1" customWidth="1"/>
    <col min="3" max="6" width="9.140625" style="25"/>
    <col min="7" max="7" width="9.140625" style="27"/>
    <col min="8" max="16384" width="9.140625" style="25"/>
  </cols>
  <sheetData>
    <row r="1" spans="1:7">
      <c r="A1" s="27" t="s">
        <v>187</v>
      </c>
      <c r="B1" s="25" t="s">
        <v>186</v>
      </c>
      <c r="C1" s="25" t="s">
        <v>11</v>
      </c>
      <c r="D1" s="25" t="s">
        <v>188</v>
      </c>
      <c r="E1" s="25" t="s">
        <v>189</v>
      </c>
      <c r="F1" s="25" t="s">
        <v>190</v>
      </c>
      <c r="G1" s="27" t="s">
        <v>56</v>
      </c>
    </row>
    <row r="2" spans="1:7">
      <c r="A2" s="27">
        <v>1</v>
      </c>
      <c r="B2" s="26">
        <v>43831</v>
      </c>
      <c r="C2" s="25">
        <v>11</v>
      </c>
      <c r="E2" s="25">
        <v>10</v>
      </c>
      <c r="F2" s="25">
        <v>20</v>
      </c>
      <c r="G2" s="27">
        <f>IFERROR(E2*F2,"")</f>
        <v>200</v>
      </c>
    </row>
    <row r="3" spans="1:7">
      <c r="A3" s="27">
        <v>2</v>
      </c>
      <c r="G3" s="27">
        <f t="shared" ref="G3:G34" si="0">IFERROR(E3*F3,"")</f>
        <v>0</v>
      </c>
    </row>
    <row r="4" spans="1:7">
      <c r="A4" s="27">
        <v>3</v>
      </c>
      <c r="G4" s="27">
        <f t="shared" si="0"/>
        <v>0</v>
      </c>
    </row>
    <row r="5" spans="1:7">
      <c r="A5" s="27">
        <v>4</v>
      </c>
      <c r="G5" s="27">
        <f t="shared" si="0"/>
        <v>0</v>
      </c>
    </row>
    <row r="6" spans="1:7">
      <c r="A6" s="27">
        <v>5</v>
      </c>
      <c r="G6" s="27">
        <f t="shared" si="0"/>
        <v>0</v>
      </c>
    </row>
    <row r="7" spans="1:7">
      <c r="A7" s="27">
        <v>6</v>
      </c>
      <c r="G7" s="27">
        <f t="shared" si="0"/>
        <v>0</v>
      </c>
    </row>
    <row r="8" spans="1:7">
      <c r="A8" s="27">
        <v>7</v>
      </c>
      <c r="G8" s="27">
        <f t="shared" si="0"/>
        <v>0</v>
      </c>
    </row>
    <row r="9" spans="1:7">
      <c r="A9" s="27">
        <v>8</v>
      </c>
      <c r="G9" s="27">
        <f t="shared" si="0"/>
        <v>0</v>
      </c>
    </row>
    <row r="10" spans="1:7">
      <c r="A10" s="27">
        <v>9</v>
      </c>
      <c r="G10" s="27">
        <f t="shared" si="0"/>
        <v>0</v>
      </c>
    </row>
    <row r="11" spans="1:7">
      <c r="A11" s="27">
        <v>10</v>
      </c>
      <c r="G11" s="27">
        <f t="shared" si="0"/>
        <v>0</v>
      </c>
    </row>
    <row r="12" spans="1:7">
      <c r="A12" s="27">
        <v>11</v>
      </c>
      <c r="G12" s="27">
        <f t="shared" si="0"/>
        <v>0</v>
      </c>
    </row>
    <row r="13" spans="1:7">
      <c r="A13" s="27">
        <v>12</v>
      </c>
      <c r="G13" s="27">
        <f t="shared" si="0"/>
        <v>0</v>
      </c>
    </row>
    <row r="14" spans="1:7">
      <c r="A14" s="27">
        <v>13</v>
      </c>
      <c r="G14" s="27">
        <f t="shared" si="0"/>
        <v>0</v>
      </c>
    </row>
    <row r="15" spans="1:7">
      <c r="A15" s="27">
        <v>14</v>
      </c>
      <c r="E15" s="25" t="s">
        <v>191</v>
      </c>
      <c r="G15" s="27" t="str">
        <f t="shared" si="0"/>
        <v/>
      </c>
    </row>
    <row r="16" spans="1:7">
      <c r="A16" s="27">
        <v>15</v>
      </c>
      <c r="G16" s="27">
        <f t="shared" si="0"/>
        <v>0</v>
      </c>
    </row>
    <row r="17" spans="1:7">
      <c r="A17" s="27">
        <v>16</v>
      </c>
      <c r="G17" s="27">
        <f t="shared" si="0"/>
        <v>0</v>
      </c>
    </row>
    <row r="18" spans="1:7">
      <c r="A18" s="27">
        <v>17</v>
      </c>
      <c r="G18" s="27">
        <f t="shared" si="0"/>
        <v>0</v>
      </c>
    </row>
    <row r="19" spans="1:7">
      <c r="A19" s="27">
        <v>18</v>
      </c>
      <c r="G19" s="27">
        <f t="shared" si="0"/>
        <v>0</v>
      </c>
    </row>
    <row r="20" spans="1:7">
      <c r="A20" s="27">
        <v>19</v>
      </c>
      <c r="G20" s="27">
        <f t="shared" si="0"/>
        <v>0</v>
      </c>
    </row>
    <row r="21" spans="1:7">
      <c r="A21" s="27">
        <v>20</v>
      </c>
      <c r="G21" s="27">
        <f t="shared" si="0"/>
        <v>0</v>
      </c>
    </row>
    <row r="22" spans="1:7">
      <c r="A22" s="27">
        <v>21</v>
      </c>
      <c r="G22" s="27">
        <f t="shared" si="0"/>
        <v>0</v>
      </c>
    </row>
    <row r="23" spans="1:7">
      <c r="A23" s="27">
        <v>22</v>
      </c>
      <c r="G23" s="27">
        <f t="shared" si="0"/>
        <v>0</v>
      </c>
    </row>
    <row r="24" spans="1:7">
      <c r="A24" s="27">
        <v>23</v>
      </c>
      <c r="G24" s="27">
        <f t="shared" si="0"/>
        <v>0</v>
      </c>
    </row>
    <row r="25" spans="1:7">
      <c r="A25" s="27">
        <v>24</v>
      </c>
      <c r="G25" s="27">
        <f t="shared" si="0"/>
        <v>0</v>
      </c>
    </row>
    <row r="26" spans="1:7">
      <c r="A26" s="27">
        <v>25</v>
      </c>
      <c r="G26" s="27">
        <f t="shared" si="0"/>
        <v>0</v>
      </c>
    </row>
    <row r="27" spans="1:7">
      <c r="A27" s="27">
        <v>26</v>
      </c>
      <c r="G27" s="27">
        <f t="shared" si="0"/>
        <v>0</v>
      </c>
    </row>
    <row r="28" spans="1:7">
      <c r="A28" s="27">
        <v>27</v>
      </c>
      <c r="G28" s="27">
        <f t="shared" si="0"/>
        <v>0</v>
      </c>
    </row>
    <row r="29" spans="1:7">
      <c r="A29" s="27">
        <v>28</v>
      </c>
      <c r="G29" s="27">
        <f t="shared" si="0"/>
        <v>0</v>
      </c>
    </row>
    <row r="30" spans="1:7">
      <c r="A30" s="27">
        <v>29</v>
      </c>
      <c r="G30" s="27">
        <f t="shared" si="0"/>
        <v>0</v>
      </c>
    </row>
    <row r="31" spans="1:7">
      <c r="A31" s="27">
        <v>30</v>
      </c>
      <c r="G31" s="27">
        <f t="shared" si="0"/>
        <v>0</v>
      </c>
    </row>
    <row r="32" spans="1:7">
      <c r="A32" s="27">
        <v>31</v>
      </c>
      <c r="G32" s="27">
        <f t="shared" si="0"/>
        <v>0</v>
      </c>
    </row>
    <row r="33" spans="1:7">
      <c r="A33" s="27">
        <v>32</v>
      </c>
      <c r="G33" s="27">
        <f t="shared" si="0"/>
        <v>0</v>
      </c>
    </row>
    <row r="34" spans="1:7">
      <c r="A34" s="27">
        <v>33</v>
      </c>
      <c r="G34" s="27">
        <f t="shared" si="0"/>
        <v>0</v>
      </c>
    </row>
    <row r="35" spans="1:7">
      <c r="A35" s="27">
        <v>34</v>
      </c>
    </row>
    <row r="36" spans="1:7">
      <c r="A36" s="27">
        <v>35</v>
      </c>
    </row>
    <row r="37" spans="1:7">
      <c r="A37" s="27">
        <v>36</v>
      </c>
    </row>
    <row r="38" spans="1:7">
      <c r="A38" s="27">
        <v>37</v>
      </c>
    </row>
    <row r="39" spans="1:7">
      <c r="A39" s="27">
        <v>38</v>
      </c>
    </row>
    <row r="40" spans="1:7">
      <c r="A40" s="27">
        <v>39</v>
      </c>
    </row>
    <row r="41" spans="1:7">
      <c r="A41" s="27">
        <v>40</v>
      </c>
    </row>
    <row r="42" spans="1:7">
      <c r="A42" s="27">
        <v>41</v>
      </c>
    </row>
    <row r="43" spans="1:7">
      <c r="A43" s="27">
        <v>42</v>
      </c>
    </row>
    <row r="44" spans="1:7">
      <c r="A44" s="27">
        <v>43</v>
      </c>
    </row>
    <row r="45" spans="1:7">
      <c r="A45" s="27">
        <v>44</v>
      </c>
    </row>
    <row r="46" spans="1:7">
      <c r="A46" s="27">
        <v>45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BC35"/>
  <sheetViews>
    <sheetView workbookViewId="0">
      <selection activeCell="C39" sqref="C39"/>
    </sheetView>
  </sheetViews>
  <sheetFormatPr defaultRowHeight="15"/>
  <cols>
    <col min="1" max="1" width="14.28515625" style="28" bestFit="1" customWidth="1"/>
    <col min="2" max="2" width="18.42578125" style="28" bestFit="1" customWidth="1"/>
    <col min="3" max="3" width="10.140625" style="28" bestFit="1" customWidth="1"/>
    <col min="4" max="4" width="4.42578125" style="28" customWidth="1"/>
    <col min="5" max="55" width="3.28515625" style="28" customWidth="1"/>
    <col min="56" max="16384" width="9.140625" style="28"/>
  </cols>
  <sheetData>
    <row r="1" spans="1:55">
      <c r="D1" s="29">
        <v>1</v>
      </c>
      <c r="E1" s="29">
        <v>2</v>
      </c>
      <c r="F1" s="29">
        <v>3</v>
      </c>
      <c r="G1" s="29">
        <v>4</v>
      </c>
      <c r="H1" s="29">
        <v>5</v>
      </c>
      <c r="I1" s="29">
        <v>6</v>
      </c>
      <c r="J1" s="29">
        <v>7</v>
      </c>
      <c r="K1" s="29">
        <v>8</v>
      </c>
      <c r="L1" s="29">
        <v>9</v>
      </c>
      <c r="M1" s="29">
        <v>10</v>
      </c>
      <c r="N1" s="29">
        <v>11</v>
      </c>
      <c r="O1" s="29">
        <v>12</v>
      </c>
      <c r="P1" s="29">
        <v>13</v>
      </c>
      <c r="Q1" s="29">
        <v>14</v>
      </c>
      <c r="R1" s="29">
        <v>15</v>
      </c>
      <c r="S1" s="29">
        <v>16</v>
      </c>
      <c r="T1" s="29">
        <v>17</v>
      </c>
      <c r="U1" s="29">
        <v>18</v>
      </c>
      <c r="V1" s="29">
        <v>19</v>
      </c>
      <c r="W1" s="29">
        <v>20</v>
      </c>
      <c r="X1" s="29">
        <v>21</v>
      </c>
      <c r="Y1" s="29">
        <v>22</v>
      </c>
      <c r="Z1" s="29">
        <v>23</v>
      </c>
      <c r="AA1" s="29">
        <v>24</v>
      </c>
      <c r="AB1" s="29">
        <v>25</v>
      </c>
      <c r="AC1" s="29">
        <v>26</v>
      </c>
      <c r="AD1" s="29">
        <v>27</v>
      </c>
      <c r="AE1" s="29">
        <v>28</v>
      </c>
      <c r="AF1" s="29">
        <v>29</v>
      </c>
      <c r="AG1" s="29">
        <v>30</v>
      </c>
      <c r="AH1" s="29">
        <v>31</v>
      </c>
      <c r="AI1" s="29">
        <v>32</v>
      </c>
      <c r="AJ1" s="29">
        <v>33</v>
      </c>
      <c r="AK1" s="29">
        <v>34</v>
      </c>
      <c r="AL1" s="29">
        <v>35</v>
      </c>
      <c r="AM1" s="29">
        <v>36</v>
      </c>
      <c r="AN1" s="29">
        <v>37</v>
      </c>
      <c r="AO1" s="29">
        <v>38</v>
      </c>
      <c r="AP1" s="29">
        <v>39</v>
      </c>
      <c r="AQ1" s="29">
        <v>40</v>
      </c>
      <c r="AR1" s="29">
        <v>41</v>
      </c>
      <c r="AS1" s="29">
        <v>42</v>
      </c>
      <c r="AT1" s="29">
        <v>43</v>
      </c>
      <c r="AU1" s="29">
        <v>44</v>
      </c>
      <c r="AV1" s="29">
        <v>45</v>
      </c>
      <c r="AW1" s="29">
        <v>46</v>
      </c>
      <c r="AX1" s="29">
        <v>47</v>
      </c>
      <c r="AY1" s="29">
        <v>48</v>
      </c>
      <c r="AZ1" s="29">
        <v>49</v>
      </c>
      <c r="BA1" s="29">
        <v>50</v>
      </c>
      <c r="BB1" s="29">
        <v>51</v>
      </c>
      <c r="BC1" s="29">
        <v>52</v>
      </c>
    </row>
    <row r="2" spans="1:55" s="29" customFormat="1">
      <c r="A2" s="29" t="s">
        <v>192</v>
      </c>
      <c r="B2" s="29" t="s">
        <v>193</v>
      </c>
      <c r="C2" s="29" t="s">
        <v>194</v>
      </c>
    </row>
    <row r="3" spans="1:55">
      <c r="A3" s="28" t="s">
        <v>195</v>
      </c>
      <c r="B3" s="28" t="s">
        <v>196</v>
      </c>
      <c r="C3" s="30">
        <v>43835</v>
      </c>
      <c r="D3" s="31" t="str">
        <f>IF(WEEKNUM($C3)=D$1,"X","")</f>
        <v/>
      </c>
      <c r="E3" s="31" t="str">
        <f t="shared" ref="E3:BC7" si="0">IF(WEEKNUM($C3)=E$1,"X","")</f>
        <v>X</v>
      </c>
      <c r="F3" s="31" t="str">
        <f t="shared" si="0"/>
        <v/>
      </c>
      <c r="G3" s="31" t="str">
        <f t="shared" si="0"/>
        <v/>
      </c>
      <c r="H3" s="31" t="str">
        <f t="shared" si="0"/>
        <v/>
      </c>
      <c r="I3" s="31" t="str">
        <f t="shared" si="0"/>
        <v/>
      </c>
      <c r="J3" s="31" t="str">
        <f t="shared" si="0"/>
        <v/>
      </c>
      <c r="K3" s="31" t="str">
        <f t="shared" si="0"/>
        <v/>
      </c>
      <c r="L3" s="31" t="str">
        <f t="shared" si="0"/>
        <v/>
      </c>
      <c r="M3" s="31" t="str">
        <f t="shared" si="0"/>
        <v/>
      </c>
      <c r="N3" s="31" t="str">
        <f t="shared" si="0"/>
        <v/>
      </c>
      <c r="O3" s="31" t="str">
        <f t="shared" si="0"/>
        <v/>
      </c>
      <c r="P3" s="31" t="str">
        <f t="shared" si="0"/>
        <v/>
      </c>
      <c r="Q3" s="31" t="str">
        <f t="shared" si="0"/>
        <v/>
      </c>
      <c r="R3" s="31" t="str">
        <f t="shared" si="0"/>
        <v/>
      </c>
      <c r="S3" s="31" t="str">
        <f t="shared" si="0"/>
        <v/>
      </c>
      <c r="T3" s="31" t="str">
        <f t="shared" si="0"/>
        <v/>
      </c>
      <c r="U3" s="31" t="str">
        <f t="shared" si="0"/>
        <v/>
      </c>
      <c r="V3" s="31" t="str">
        <f t="shared" si="0"/>
        <v/>
      </c>
      <c r="W3" s="31" t="str">
        <f t="shared" si="0"/>
        <v/>
      </c>
      <c r="X3" s="31" t="str">
        <f t="shared" si="0"/>
        <v/>
      </c>
      <c r="Y3" s="31" t="str">
        <f t="shared" si="0"/>
        <v/>
      </c>
      <c r="Z3" s="31" t="str">
        <f t="shared" si="0"/>
        <v/>
      </c>
      <c r="AA3" s="31" t="str">
        <f t="shared" si="0"/>
        <v/>
      </c>
      <c r="AB3" s="31" t="str">
        <f t="shared" si="0"/>
        <v/>
      </c>
      <c r="AC3" s="31" t="str">
        <f t="shared" si="0"/>
        <v/>
      </c>
      <c r="AD3" s="31" t="str">
        <f t="shared" si="0"/>
        <v/>
      </c>
      <c r="AE3" s="31" t="str">
        <f t="shared" si="0"/>
        <v/>
      </c>
      <c r="AF3" s="31" t="str">
        <f t="shared" si="0"/>
        <v/>
      </c>
      <c r="AG3" s="31" t="str">
        <f t="shared" si="0"/>
        <v/>
      </c>
      <c r="AH3" s="31" t="str">
        <f t="shared" si="0"/>
        <v/>
      </c>
      <c r="AI3" s="31" t="str">
        <f t="shared" si="0"/>
        <v/>
      </c>
      <c r="AJ3" s="31" t="str">
        <f t="shared" si="0"/>
        <v/>
      </c>
      <c r="AK3" s="31" t="str">
        <f t="shared" si="0"/>
        <v/>
      </c>
      <c r="AL3" s="31" t="str">
        <f t="shared" si="0"/>
        <v/>
      </c>
      <c r="AM3" s="31" t="str">
        <f t="shared" si="0"/>
        <v/>
      </c>
      <c r="AN3" s="31" t="str">
        <f t="shared" si="0"/>
        <v/>
      </c>
      <c r="AO3" s="31" t="str">
        <f t="shared" si="0"/>
        <v/>
      </c>
      <c r="AP3" s="31" t="str">
        <f t="shared" si="0"/>
        <v/>
      </c>
      <c r="AQ3" s="31" t="str">
        <f t="shared" si="0"/>
        <v/>
      </c>
      <c r="AR3" s="31" t="str">
        <f t="shared" si="0"/>
        <v/>
      </c>
      <c r="AS3" s="31" t="str">
        <f t="shared" si="0"/>
        <v/>
      </c>
      <c r="AT3" s="31" t="str">
        <f t="shared" si="0"/>
        <v/>
      </c>
      <c r="AU3" s="31" t="str">
        <f t="shared" si="0"/>
        <v/>
      </c>
      <c r="AV3" s="31" t="str">
        <f t="shared" si="0"/>
        <v/>
      </c>
      <c r="AW3" s="31" t="str">
        <f t="shared" si="0"/>
        <v/>
      </c>
      <c r="AX3" s="31" t="str">
        <f t="shared" si="0"/>
        <v/>
      </c>
      <c r="AY3" s="31" t="str">
        <f t="shared" si="0"/>
        <v/>
      </c>
      <c r="AZ3" s="31" t="str">
        <f t="shared" si="0"/>
        <v/>
      </c>
      <c r="BA3" s="31" t="str">
        <f t="shared" si="0"/>
        <v/>
      </c>
      <c r="BB3" s="31" t="str">
        <f t="shared" si="0"/>
        <v/>
      </c>
      <c r="BC3" s="31" t="str">
        <f t="shared" si="0"/>
        <v/>
      </c>
    </row>
    <row r="4" spans="1:55">
      <c r="A4" s="28" t="s">
        <v>197</v>
      </c>
      <c r="B4" s="28" t="s">
        <v>198</v>
      </c>
      <c r="C4" s="30">
        <v>43948</v>
      </c>
      <c r="D4" s="31" t="str">
        <f t="shared" ref="D4:S23" si="1">IF(WEEKNUM($C4)=D$1,"X","")</f>
        <v/>
      </c>
      <c r="E4" s="31" t="str">
        <f t="shared" si="0"/>
        <v/>
      </c>
      <c r="F4" s="31" t="str">
        <f t="shared" si="0"/>
        <v/>
      </c>
      <c r="G4" s="31" t="str">
        <f t="shared" si="0"/>
        <v/>
      </c>
      <c r="H4" s="31" t="str">
        <f t="shared" si="0"/>
        <v/>
      </c>
      <c r="I4" s="31" t="str">
        <f t="shared" si="0"/>
        <v/>
      </c>
      <c r="J4" s="31" t="str">
        <f t="shared" si="0"/>
        <v/>
      </c>
      <c r="K4" s="31" t="str">
        <f t="shared" si="0"/>
        <v/>
      </c>
      <c r="L4" s="31" t="str">
        <f t="shared" si="0"/>
        <v/>
      </c>
      <c r="M4" s="31" t="str">
        <f t="shared" si="0"/>
        <v/>
      </c>
      <c r="N4" s="31" t="str">
        <f t="shared" si="0"/>
        <v/>
      </c>
      <c r="O4" s="31" t="str">
        <f t="shared" si="0"/>
        <v/>
      </c>
      <c r="P4" s="31" t="str">
        <f t="shared" si="0"/>
        <v/>
      </c>
      <c r="Q4" s="31" t="str">
        <f t="shared" si="0"/>
        <v/>
      </c>
      <c r="R4" s="31" t="str">
        <f t="shared" si="0"/>
        <v/>
      </c>
      <c r="S4" s="31" t="str">
        <f t="shared" si="0"/>
        <v/>
      </c>
      <c r="T4" s="31" t="str">
        <f t="shared" si="0"/>
        <v/>
      </c>
      <c r="U4" s="31" t="str">
        <f t="shared" si="0"/>
        <v>X</v>
      </c>
      <c r="V4" s="31" t="str">
        <f t="shared" si="0"/>
        <v/>
      </c>
      <c r="W4" s="31" t="str">
        <f t="shared" si="0"/>
        <v/>
      </c>
      <c r="X4" s="31" t="str">
        <f t="shared" si="0"/>
        <v/>
      </c>
      <c r="Y4" s="31" t="str">
        <f t="shared" si="0"/>
        <v/>
      </c>
      <c r="Z4" s="31" t="str">
        <f t="shared" si="0"/>
        <v/>
      </c>
      <c r="AA4" s="31" t="str">
        <f t="shared" si="0"/>
        <v/>
      </c>
      <c r="AB4" s="31" t="str">
        <f t="shared" si="0"/>
        <v/>
      </c>
      <c r="AC4" s="31" t="str">
        <f t="shared" si="0"/>
        <v/>
      </c>
      <c r="AD4" s="31" t="str">
        <f t="shared" si="0"/>
        <v/>
      </c>
      <c r="AE4" s="31" t="str">
        <f t="shared" si="0"/>
        <v/>
      </c>
      <c r="AF4" s="31" t="str">
        <f t="shared" si="0"/>
        <v/>
      </c>
      <c r="AG4" s="31" t="str">
        <f t="shared" si="0"/>
        <v/>
      </c>
      <c r="AH4" s="31" t="str">
        <f t="shared" si="0"/>
        <v/>
      </c>
      <c r="AI4" s="31" t="str">
        <f t="shared" si="0"/>
        <v/>
      </c>
      <c r="AJ4" s="31" t="str">
        <f t="shared" si="0"/>
        <v/>
      </c>
      <c r="AK4" s="31" t="str">
        <f t="shared" si="0"/>
        <v/>
      </c>
      <c r="AL4" s="31" t="str">
        <f t="shared" si="0"/>
        <v/>
      </c>
      <c r="AM4" s="31" t="str">
        <f t="shared" si="0"/>
        <v/>
      </c>
      <c r="AN4" s="31" t="str">
        <f t="shared" si="0"/>
        <v/>
      </c>
      <c r="AO4" s="31" t="str">
        <f t="shared" si="0"/>
        <v/>
      </c>
      <c r="AP4" s="31" t="str">
        <f t="shared" si="0"/>
        <v/>
      </c>
      <c r="AQ4" s="31" t="str">
        <f t="shared" si="0"/>
        <v/>
      </c>
      <c r="AR4" s="31" t="str">
        <f t="shared" si="0"/>
        <v/>
      </c>
      <c r="AS4" s="31" t="str">
        <f t="shared" si="0"/>
        <v/>
      </c>
      <c r="AT4" s="31" t="str">
        <f t="shared" si="0"/>
        <v/>
      </c>
      <c r="AU4" s="31" t="str">
        <f t="shared" si="0"/>
        <v/>
      </c>
      <c r="AV4" s="31" t="str">
        <f t="shared" si="0"/>
        <v/>
      </c>
      <c r="AW4" s="31" t="str">
        <f t="shared" si="0"/>
        <v/>
      </c>
      <c r="AX4" s="31" t="str">
        <f t="shared" si="0"/>
        <v/>
      </c>
      <c r="AY4" s="31" t="str">
        <f t="shared" si="0"/>
        <v/>
      </c>
      <c r="AZ4" s="31" t="str">
        <f t="shared" si="0"/>
        <v/>
      </c>
      <c r="BA4" s="31" t="str">
        <f t="shared" si="0"/>
        <v/>
      </c>
      <c r="BB4" s="31" t="str">
        <f t="shared" si="0"/>
        <v/>
      </c>
      <c r="BC4" s="31" t="str">
        <f t="shared" si="0"/>
        <v/>
      </c>
    </row>
    <row r="5" spans="1:55">
      <c r="A5" s="28" t="s">
        <v>199</v>
      </c>
      <c r="B5" s="28" t="s">
        <v>200</v>
      </c>
      <c r="C5" s="30">
        <v>43849</v>
      </c>
      <c r="D5" s="31" t="str">
        <f t="shared" si="1"/>
        <v/>
      </c>
      <c r="E5" s="31" t="str">
        <f t="shared" si="0"/>
        <v/>
      </c>
      <c r="F5" s="31" t="str">
        <f t="shared" si="0"/>
        <v/>
      </c>
      <c r="G5" s="31" t="str">
        <f t="shared" si="0"/>
        <v>X</v>
      </c>
      <c r="H5" s="31" t="str">
        <f t="shared" si="0"/>
        <v/>
      </c>
      <c r="I5" s="31" t="str">
        <f t="shared" si="0"/>
        <v/>
      </c>
      <c r="J5" s="31" t="str">
        <f t="shared" si="0"/>
        <v/>
      </c>
      <c r="K5" s="31" t="str">
        <f t="shared" si="0"/>
        <v/>
      </c>
      <c r="L5" s="31" t="str">
        <f t="shared" si="0"/>
        <v/>
      </c>
      <c r="M5" s="31" t="str">
        <f t="shared" si="0"/>
        <v/>
      </c>
      <c r="N5" s="31" t="str">
        <f t="shared" si="0"/>
        <v/>
      </c>
      <c r="O5" s="31" t="str">
        <f t="shared" si="0"/>
        <v/>
      </c>
      <c r="P5" s="31" t="str">
        <f t="shared" si="0"/>
        <v/>
      </c>
      <c r="Q5" s="31" t="str">
        <f t="shared" si="0"/>
        <v/>
      </c>
      <c r="R5" s="31" t="str">
        <f t="shared" si="0"/>
        <v/>
      </c>
      <c r="S5" s="31" t="str">
        <f t="shared" si="0"/>
        <v/>
      </c>
      <c r="T5" s="31" t="str">
        <f t="shared" si="0"/>
        <v/>
      </c>
      <c r="U5" s="31" t="str">
        <f t="shared" si="0"/>
        <v/>
      </c>
      <c r="V5" s="31" t="str">
        <f t="shared" si="0"/>
        <v/>
      </c>
      <c r="W5" s="31" t="str">
        <f t="shared" si="0"/>
        <v/>
      </c>
      <c r="X5" s="31" t="str">
        <f t="shared" si="0"/>
        <v/>
      </c>
      <c r="Y5" s="31" t="str">
        <f t="shared" si="0"/>
        <v/>
      </c>
      <c r="Z5" s="31" t="str">
        <f t="shared" si="0"/>
        <v/>
      </c>
      <c r="AA5" s="31" t="str">
        <f t="shared" si="0"/>
        <v/>
      </c>
      <c r="AB5" s="31" t="str">
        <f t="shared" si="0"/>
        <v/>
      </c>
      <c r="AC5" s="31" t="str">
        <f t="shared" si="0"/>
        <v/>
      </c>
      <c r="AD5" s="31" t="str">
        <f t="shared" si="0"/>
        <v/>
      </c>
      <c r="AE5" s="31" t="str">
        <f t="shared" si="0"/>
        <v/>
      </c>
      <c r="AF5" s="31" t="str">
        <f t="shared" si="0"/>
        <v/>
      </c>
      <c r="AG5" s="31" t="str">
        <f t="shared" si="0"/>
        <v/>
      </c>
      <c r="AH5" s="31" t="str">
        <f t="shared" si="0"/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si="0"/>
        <v/>
      </c>
      <c r="AS5" s="31" t="str">
        <f t="shared" si="0"/>
        <v/>
      </c>
      <c r="AT5" s="31" t="str">
        <f t="shared" si="0"/>
        <v/>
      </c>
      <c r="AU5" s="31" t="str">
        <f t="shared" si="0"/>
        <v/>
      </c>
      <c r="AV5" s="31" t="str">
        <f t="shared" si="0"/>
        <v/>
      </c>
      <c r="AW5" s="31" t="str">
        <f t="shared" si="0"/>
        <v/>
      </c>
      <c r="AX5" s="31" t="str">
        <f t="shared" si="0"/>
        <v/>
      </c>
      <c r="AY5" s="31" t="str">
        <f t="shared" si="0"/>
        <v/>
      </c>
      <c r="AZ5" s="31" t="str">
        <f t="shared" si="0"/>
        <v/>
      </c>
      <c r="BA5" s="31" t="str">
        <f t="shared" si="0"/>
        <v/>
      </c>
      <c r="BB5" s="31" t="str">
        <f t="shared" si="0"/>
        <v/>
      </c>
      <c r="BC5" s="31" t="str">
        <f t="shared" si="0"/>
        <v/>
      </c>
    </row>
    <row r="6" spans="1:55">
      <c r="A6" s="28" t="s">
        <v>201</v>
      </c>
      <c r="B6" s="28" t="s">
        <v>202</v>
      </c>
      <c r="C6" s="30">
        <v>43878</v>
      </c>
      <c r="D6" s="31" t="str">
        <f t="shared" si="1"/>
        <v/>
      </c>
      <c r="E6" s="31" t="str">
        <f t="shared" si="0"/>
        <v/>
      </c>
      <c r="F6" s="31" t="str">
        <f t="shared" si="0"/>
        <v/>
      </c>
      <c r="G6" s="31" t="str">
        <f t="shared" si="0"/>
        <v/>
      </c>
      <c r="H6" s="31" t="str">
        <f t="shared" si="0"/>
        <v/>
      </c>
      <c r="I6" s="31" t="str">
        <f t="shared" si="0"/>
        <v/>
      </c>
      <c r="J6" s="31" t="str">
        <f t="shared" si="0"/>
        <v/>
      </c>
      <c r="K6" s="31" t="str">
        <f t="shared" si="0"/>
        <v>X</v>
      </c>
      <c r="L6" s="31" t="str">
        <f t="shared" si="0"/>
        <v/>
      </c>
      <c r="M6" s="31" t="str">
        <f t="shared" si="0"/>
        <v/>
      </c>
      <c r="N6" s="31" t="str">
        <f t="shared" si="0"/>
        <v/>
      </c>
      <c r="O6" s="31" t="str">
        <f t="shared" si="0"/>
        <v/>
      </c>
      <c r="P6" s="31" t="str">
        <f t="shared" si="0"/>
        <v/>
      </c>
      <c r="Q6" s="31" t="str">
        <f t="shared" si="0"/>
        <v/>
      </c>
      <c r="R6" s="31" t="str">
        <f t="shared" si="0"/>
        <v/>
      </c>
      <c r="S6" s="31" t="str">
        <f t="shared" si="0"/>
        <v/>
      </c>
      <c r="T6" s="31" t="str">
        <f t="shared" si="0"/>
        <v/>
      </c>
      <c r="U6" s="31" t="str">
        <f t="shared" si="0"/>
        <v/>
      </c>
      <c r="V6" s="31" t="str">
        <f t="shared" si="0"/>
        <v/>
      </c>
      <c r="W6" s="31" t="str">
        <f t="shared" si="0"/>
        <v/>
      </c>
      <c r="X6" s="31" t="str">
        <f t="shared" si="0"/>
        <v/>
      </c>
      <c r="Y6" s="31" t="str">
        <f t="shared" si="0"/>
        <v/>
      </c>
      <c r="Z6" s="31" t="str">
        <f t="shared" si="0"/>
        <v/>
      </c>
      <c r="AA6" s="31" t="str">
        <f t="shared" si="0"/>
        <v/>
      </c>
      <c r="AB6" s="31" t="str">
        <f t="shared" si="0"/>
        <v/>
      </c>
      <c r="AC6" s="31" t="str">
        <f t="shared" si="0"/>
        <v/>
      </c>
      <c r="AD6" s="31" t="str">
        <f t="shared" si="0"/>
        <v/>
      </c>
      <c r="AE6" s="31" t="str">
        <f t="shared" si="0"/>
        <v/>
      </c>
      <c r="AF6" s="31" t="str">
        <f t="shared" si="0"/>
        <v/>
      </c>
      <c r="AG6" s="31" t="str">
        <f t="shared" si="0"/>
        <v/>
      </c>
      <c r="AH6" s="31" t="str">
        <f t="shared" si="0"/>
        <v/>
      </c>
      <c r="AI6" s="31" t="str">
        <f t="shared" si="0"/>
        <v/>
      </c>
      <c r="AJ6" s="31" t="str">
        <f t="shared" si="0"/>
        <v/>
      </c>
      <c r="AK6" s="31" t="str">
        <f t="shared" si="0"/>
        <v/>
      </c>
      <c r="AL6" s="31" t="str">
        <f t="shared" si="0"/>
        <v/>
      </c>
      <c r="AM6" s="31" t="str">
        <f t="shared" si="0"/>
        <v/>
      </c>
      <c r="AN6" s="31" t="str">
        <f t="shared" si="0"/>
        <v/>
      </c>
      <c r="AO6" s="31" t="str">
        <f t="shared" si="0"/>
        <v/>
      </c>
      <c r="AP6" s="31" t="str">
        <f t="shared" si="0"/>
        <v/>
      </c>
      <c r="AQ6" s="31" t="str">
        <f t="shared" si="0"/>
        <v/>
      </c>
      <c r="AR6" s="31" t="str">
        <f t="shared" si="0"/>
        <v/>
      </c>
      <c r="AS6" s="31" t="str">
        <f t="shared" si="0"/>
        <v/>
      </c>
      <c r="AT6" s="31" t="str">
        <f t="shared" si="0"/>
        <v/>
      </c>
      <c r="AU6" s="31" t="str">
        <f t="shared" si="0"/>
        <v/>
      </c>
      <c r="AV6" s="31" t="str">
        <f t="shared" si="0"/>
        <v/>
      </c>
      <c r="AW6" s="31" t="str">
        <f t="shared" si="0"/>
        <v/>
      </c>
      <c r="AX6" s="31" t="str">
        <f t="shared" si="0"/>
        <v/>
      </c>
      <c r="AY6" s="31" t="str">
        <f t="shared" si="0"/>
        <v/>
      </c>
      <c r="AZ6" s="31" t="str">
        <f t="shared" si="0"/>
        <v/>
      </c>
      <c r="BA6" s="31" t="str">
        <f t="shared" si="0"/>
        <v/>
      </c>
      <c r="BB6" s="31" t="str">
        <f t="shared" si="0"/>
        <v/>
      </c>
      <c r="BC6" s="31" t="str">
        <f t="shared" si="0"/>
        <v/>
      </c>
    </row>
    <row r="7" spans="1:55">
      <c r="A7" s="28" t="s">
        <v>203</v>
      </c>
      <c r="B7" s="28" t="s">
        <v>204</v>
      </c>
      <c r="C7" s="30">
        <v>43967</v>
      </c>
      <c r="D7" s="31" t="str">
        <f t="shared" si="1"/>
        <v/>
      </c>
      <c r="E7" s="31" t="str">
        <f t="shared" si="0"/>
        <v/>
      </c>
      <c r="F7" s="31" t="str">
        <f t="shared" si="0"/>
        <v/>
      </c>
      <c r="G7" s="31" t="str">
        <f t="shared" si="0"/>
        <v/>
      </c>
      <c r="H7" s="31" t="str">
        <f t="shared" si="0"/>
        <v/>
      </c>
      <c r="I7" s="31" t="str">
        <f t="shared" si="0"/>
        <v/>
      </c>
      <c r="J7" s="31" t="str">
        <f t="shared" si="0"/>
        <v/>
      </c>
      <c r="K7" s="31" t="str">
        <f t="shared" si="0"/>
        <v/>
      </c>
      <c r="L7" s="31" t="str">
        <f t="shared" si="0"/>
        <v/>
      </c>
      <c r="M7" s="31" t="str">
        <f t="shared" si="0"/>
        <v/>
      </c>
      <c r="N7" s="31" t="str">
        <f t="shared" si="0"/>
        <v/>
      </c>
      <c r="O7" s="31" t="str">
        <f t="shared" si="0"/>
        <v/>
      </c>
      <c r="P7" s="31" t="str">
        <f t="shared" si="0"/>
        <v/>
      </c>
      <c r="Q7" s="31" t="str">
        <f t="shared" si="0"/>
        <v/>
      </c>
      <c r="R7" s="31" t="str">
        <f t="shared" si="0"/>
        <v/>
      </c>
      <c r="S7" s="31" t="str">
        <f t="shared" si="0"/>
        <v/>
      </c>
      <c r="T7" s="31" t="str">
        <f t="shared" si="0"/>
        <v/>
      </c>
      <c r="U7" s="31" t="str">
        <f t="shared" si="0"/>
        <v/>
      </c>
      <c r="V7" s="31" t="str">
        <f t="shared" si="0"/>
        <v/>
      </c>
      <c r="W7" s="31" t="str">
        <f t="shared" si="0"/>
        <v>X</v>
      </c>
      <c r="X7" s="31" t="str">
        <f t="shared" si="0"/>
        <v/>
      </c>
      <c r="Y7" s="31" t="str">
        <f t="shared" si="0"/>
        <v/>
      </c>
      <c r="Z7" s="31" t="str">
        <f t="shared" si="0"/>
        <v/>
      </c>
      <c r="AA7" s="31" t="str">
        <f t="shared" si="0"/>
        <v/>
      </c>
      <c r="AB7" s="31" t="str">
        <f t="shared" si="0"/>
        <v/>
      </c>
      <c r="AC7" s="31" t="str">
        <f t="shared" si="0"/>
        <v/>
      </c>
      <c r="AD7" s="31" t="str">
        <f t="shared" si="0"/>
        <v/>
      </c>
      <c r="AE7" s="31" t="str">
        <f t="shared" si="0"/>
        <v/>
      </c>
      <c r="AF7" s="31" t="str">
        <f t="shared" si="0"/>
        <v/>
      </c>
      <c r="AG7" s="31" t="str">
        <f t="shared" si="0"/>
        <v/>
      </c>
      <c r="AH7" s="31" t="str">
        <f t="shared" si="0"/>
        <v/>
      </c>
      <c r="AI7" s="31" t="str">
        <f t="shared" si="0"/>
        <v/>
      </c>
      <c r="AJ7" s="31" t="str">
        <f t="shared" si="0"/>
        <v/>
      </c>
      <c r="AK7" s="31" t="str">
        <f t="shared" si="0"/>
        <v/>
      </c>
      <c r="AL7" s="31" t="str">
        <f t="shared" si="0"/>
        <v/>
      </c>
      <c r="AM7" s="31" t="str">
        <f t="shared" si="0"/>
        <v/>
      </c>
      <c r="AN7" s="31" t="str">
        <f t="shared" si="0"/>
        <v/>
      </c>
      <c r="AO7" s="31" t="str">
        <f t="shared" si="0"/>
        <v/>
      </c>
      <c r="AP7" s="31" t="str">
        <f t="shared" si="0"/>
        <v/>
      </c>
      <c r="AQ7" s="31" t="str">
        <f t="shared" si="0"/>
        <v/>
      </c>
      <c r="AR7" s="31" t="str">
        <f t="shared" si="0"/>
        <v/>
      </c>
      <c r="AS7" s="31" t="str">
        <f t="shared" si="0"/>
        <v/>
      </c>
      <c r="AT7" s="31" t="str">
        <f t="shared" si="0"/>
        <v/>
      </c>
      <c r="AU7" s="31" t="str">
        <f t="shared" si="0"/>
        <v/>
      </c>
      <c r="AV7" s="31" t="str">
        <f t="shared" si="0"/>
        <v/>
      </c>
      <c r="AW7" s="31" t="str">
        <f t="shared" si="0"/>
        <v/>
      </c>
      <c r="AX7" s="31" t="str">
        <f t="shared" si="0"/>
        <v/>
      </c>
      <c r="AY7" s="31" t="str">
        <f t="shared" si="0"/>
        <v/>
      </c>
      <c r="AZ7" s="31" t="str">
        <f t="shared" si="0"/>
        <v/>
      </c>
      <c r="BA7" s="31" t="str">
        <f t="shared" si="0"/>
        <v/>
      </c>
      <c r="BB7" s="31" t="str">
        <f t="shared" si="0"/>
        <v/>
      </c>
      <c r="BC7" s="31" t="str">
        <f t="shared" si="0"/>
        <v/>
      </c>
    </row>
    <row r="8" spans="1:55">
      <c r="A8" s="28" t="s">
        <v>205</v>
      </c>
      <c r="B8" s="28" t="s">
        <v>206</v>
      </c>
      <c r="C8" s="30">
        <v>43967</v>
      </c>
      <c r="D8" s="31" t="str">
        <f t="shared" si="1"/>
        <v/>
      </c>
      <c r="E8" s="31" t="str">
        <f t="shared" si="1"/>
        <v/>
      </c>
      <c r="F8" s="31" t="str">
        <f t="shared" si="1"/>
        <v/>
      </c>
      <c r="G8" s="31" t="str">
        <f t="shared" si="1"/>
        <v/>
      </c>
      <c r="H8" s="31" t="str">
        <f t="shared" si="1"/>
        <v/>
      </c>
      <c r="I8" s="31" t="str">
        <f t="shared" si="1"/>
        <v/>
      </c>
      <c r="J8" s="31" t="str">
        <f t="shared" si="1"/>
        <v/>
      </c>
      <c r="K8" s="31" t="str">
        <f t="shared" si="1"/>
        <v/>
      </c>
      <c r="L8" s="31" t="str">
        <f t="shared" si="1"/>
        <v/>
      </c>
      <c r="M8" s="31" t="str">
        <f t="shared" si="1"/>
        <v/>
      </c>
      <c r="N8" s="31" t="str">
        <f t="shared" si="1"/>
        <v/>
      </c>
      <c r="O8" s="31" t="str">
        <f t="shared" si="1"/>
        <v/>
      </c>
      <c r="P8" s="31" t="str">
        <f t="shared" si="1"/>
        <v/>
      </c>
      <c r="Q8" s="31" t="str">
        <f t="shared" si="1"/>
        <v/>
      </c>
      <c r="R8" s="31" t="str">
        <f t="shared" si="1"/>
        <v/>
      </c>
      <c r="S8" s="31" t="str">
        <f t="shared" si="1"/>
        <v/>
      </c>
      <c r="T8" s="31" t="str">
        <f t="shared" ref="T8:AI25" si="2">IF(WEEKNUM($C8)=T$1,"X","")</f>
        <v/>
      </c>
      <c r="U8" s="31" t="str">
        <f t="shared" si="2"/>
        <v/>
      </c>
      <c r="V8" s="31" t="str">
        <f t="shared" si="2"/>
        <v/>
      </c>
      <c r="W8" s="31" t="str">
        <f t="shared" si="2"/>
        <v>X</v>
      </c>
      <c r="X8" s="31" t="str">
        <f t="shared" si="2"/>
        <v/>
      </c>
      <c r="Y8" s="31" t="str">
        <f t="shared" si="2"/>
        <v/>
      </c>
      <c r="Z8" s="31" t="str">
        <f t="shared" si="2"/>
        <v/>
      </c>
      <c r="AA8" s="31" t="str">
        <f t="shared" si="2"/>
        <v/>
      </c>
      <c r="AB8" s="31" t="str">
        <f t="shared" si="2"/>
        <v/>
      </c>
      <c r="AC8" s="31" t="str">
        <f t="shared" si="2"/>
        <v/>
      </c>
      <c r="AD8" s="31" t="str">
        <f t="shared" si="2"/>
        <v/>
      </c>
      <c r="AE8" s="31" t="str">
        <f t="shared" si="2"/>
        <v/>
      </c>
      <c r="AF8" s="31" t="str">
        <f t="shared" si="2"/>
        <v/>
      </c>
      <c r="AG8" s="31" t="str">
        <f t="shared" si="2"/>
        <v/>
      </c>
      <c r="AH8" s="31" t="str">
        <f t="shared" si="2"/>
        <v/>
      </c>
      <c r="AI8" s="31" t="str">
        <f t="shared" si="2"/>
        <v/>
      </c>
      <c r="AJ8" s="31" t="str">
        <f t="shared" ref="AJ8:AY23" si="3">IF(WEEKNUM($C8)=AJ$1,"X","")</f>
        <v/>
      </c>
      <c r="AK8" s="31" t="str">
        <f t="shared" si="3"/>
        <v/>
      </c>
      <c r="AL8" s="31" t="str">
        <f t="shared" si="3"/>
        <v/>
      </c>
      <c r="AM8" s="31" t="str">
        <f t="shared" si="3"/>
        <v/>
      </c>
      <c r="AN8" s="31" t="str">
        <f t="shared" si="3"/>
        <v/>
      </c>
      <c r="AO8" s="31" t="str">
        <f t="shared" si="3"/>
        <v/>
      </c>
      <c r="AP8" s="31" t="str">
        <f t="shared" si="3"/>
        <v/>
      </c>
      <c r="AQ8" s="31" t="str">
        <f t="shared" si="3"/>
        <v/>
      </c>
      <c r="AR8" s="31" t="str">
        <f t="shared" si="3"/>
        <v/>
      </c>
      <c r="AS8" s="31" t="str">
        <f t="shared" si="3"/>
        <v/>
      </c>
      <c r="AT8" s="31" t="str">
        <f t="shared" si="3"/>
        <v/>
      </c>
      <c r="AU8" s="31" t="str">
        <f t="shared" si="3"/>
        <v/>
      </c>
      <c r="AV8" s="31" t="str">
        <f t="shared" si="3"/>
        <v/>
      </c>
      <c r="AW8" s="31" t="str">
        <f t="shared" si="3"/>
        <v/>
      </c>
      <c r="AX8" s="31" t="str">
        <f t="shared" si="3"/>
        <v/>
      </c>
      <c r="AY8" s="31" t="str">
        <f t="shared" si="3"/>
        <v/>
      </c>
      <c r="AZ8" s="31" t="str">
        <f t="shared" ref="AZ8:BC22" si="4">IF(WEEKNUM($C8)=AZ$1,"X","")</f>
        <v/>
      </c>
      <c r="BA8" s="31" t="str">
        <f t="shared" si="4"/>
        <v/>
      </c>
      <c r="BB8" s="31" t="str">
        <f t="shared" si="4"/>
        <v/>
      </c>
      <c r="BC8" s="31" t="str">
        <f t="shared" si="4"/>
        <v/>
      </c>
    </row>
    <row r="9" spans="1:55">
      <c r="A9" s="28" t="s">
        <v>207</v>
      </c>
      <c r="B9" s="28" t="s">
        <v>208</v>
      </c>
      <c r="C9" s="30">
        <v>44027</v>
      </c>
      <c r="D9" s="31" t="str">
        <f t="shared" si="1"/>
        <v/>
      </c>
      <c r="E9" s="31" t="str">
        <f t="shared" si="1"/>
        <v/>
      </c>
      <c r="F9" s="31" t="str">
        <f t="shared" si="1"/>
        <v/>
      </c>
      <c r="G9" s="31" t="str">
        <f t="shared" si="1"/>
        <v/>
      </c>
      <c r="H9" s="31" t="str">
        <f t="shared" si="1"/>
        <v/>
      </c>
      <c r="I9" s="31" t="str">
        <f t="shared" si="1"/>
        <v/>
      </c>
      <c r="J9" s="31" t="str">
        <f t="shared" si="1"/>
        <v/>
      </c>
      <c r="K9" s="31" t="str">
        <f t="shared" si="1"/>
        <v/>
      </c>
      <c r="L9" s="31" t="str">
        <f t="shared" si="1"/>
        <v/>
      </c>
      <c r="M9" s="31" t="str">
        <f t="shared" si="1"/>
        <v/>
      </c>
      <c r="N9" s="31" t="str">
        <f t="shared" si="1"/>
        <v/>
      </c>
      <c r="O9" s="31" t="str">
        <f t="shared" si="1"/>
        <v/>
      </c>
      <c r="P9" s="31" t="str">
        <f t="shared" si="1"/>
        <v/>
      </c>
      <c r="Q9" s="31" t="str">
        <f t="shared" si="1"/>
        <v/>
      </c>
      <c r="R9" s="31" t="str">
        <f t="shared" si="1"/>
        <v/>
      </c>
      <c r="S9" s="31" t="str">
        <f t="shared" si="1"/>
        <v/>
      </c>
      <c r="T9" s="31" t="str">
        <f t="shared" si="2"/>
        <v/>
      </c>
      <c r="U9" s="31" t="str">
        <f t="shared" si="2"/>
        <v/>
      </c>
      <c r="V9" s="31" t="str">
        <f t="shared" si="2"/>
        <v/>
      </c>
      <c r="W9" s="31" t="str">
        <f t="shared" si="2"/>
        <v/>
      </c>
      <c r="X9" s="31" t="str">
        <f t="shared" si="2"/>
        <v/>
      </c>
      <c r="Y9" s="31" t="str">
        <f t="shared" si="2"/>
        <v/>
      </c>
      <c r="Z9" s="31" t="str">
        <f t="shared" si="2"/>
        <v/>
      </c>
      <c r="AA9" s="31" t="str">
        <f t="shared" si="2"/>
        <v/>
      </c>
      <c r="AB9" s="31" t="str">
        <f t="shared" si="2"/>
        <v/>
      </c>
      <c r="AC9" s="31" t="str">
        <f t="shared" si="2"/>
        <v/>
      </c>
      <c r="AD9" s="31" t="str">
        <f t="shared" si="2"/>
        <v/>
      </c>
      <c r="AE9" s="31" t="str">
        <f t="shared" si="2"/>
        <v/>
      </c>
      <c r="AF9" s="31" t="str">
        <f t="shared" si="2"/>
        <v>X</v>
      </c>
      <c r="AG9" s="31" t="str">
        <f t="shared" si="2"/>
        <v/>
      </c>
      <c r="AH9" s="31" t="str">
        <f t="shared" si="2"/>
        <v/>
      </c>
      <c r="AI9" s="31" t="str">
        <f t="shared" si="2"/>
        <v/>
      </c>
      <c r="AJ9" s="31" t="str">
        <f t="shared" si="3"/>
        <v/>
      </c>
      <c r="AK9" s="31" t="str">
        <f t="shared" si="3"/>
        <v/>
      </c>
      <c r="AL9" s="31" t="str">
        <f t="shared" si="3"/>
        <v/>
      </c>
      <c r="AM9" s="31" t="str">
        <f t="shared" si="3"/>
        <v/>
      </c>
      <c r="AN9" s="31" t="str">
        <f t="shared" si="3"/>
        <v/>
      </c>
      <c r="AO9" s="31" t="str">
        <f t="shared" si="3"/>
        <v/>
      </c>
      <c r="AP9" s="31" t="str">
        <f t="shared" si="3"/>
        <v/>
      </c>
      <c r="AQ9" s="31" t="str">
        <f t="shared" si="3"/>
        <v/>
      </c>
      <c r="AR9" s="31" t="str">
        <f t="shared" si="3"/>
        <v/>
      </c>
      <c r="AS9" s="31" t="str">
        <f t="shared" si="3"/>
        <v/>
      </c>
      <c r="AT9" s="31" t="str">
        <f t="shared" si="3"/>
        <v/>
      </c>
      <c r="AU9" s="31" t="str">
        <f t="shared" si="3"/>
        <v/>
      </c>
      <c r="AV9" s="31" t="str">
        <f t="shared" si="3"/>
        <v/>
      </c>
      <c r="AW9" s="31" t="str">
        <f t="shared" si="3"/>
        <v/>
      </c>
      <c r="AX9" s="31" t="str">
        <f t="shared" si="3"/>
        <v/>
      </c>
      <c r="AY9" s="31" t="str">
        <f t="shared" si="3"/>
        <v/>
      </c>
      <c r="AZ9" s="31" t="str">
        <f t="shared" si="4"/>
        <v/>
      </c>
      <c r="BA9" s="31" t="str">
        <f t="shared" si="4"/>
        <v/>
      </c>
      <c r="BB9" s="31" t="str">
        <f t="shared" si="4"/>
        <v/>
      </c>
      <c r="BC9" s="31" t="str">
        <f t="shared" si="4"/>
        <v/>
      </c>
    </row>
    <row r="10" spans="1:55">
      <c r="A10" s="28" t="s">
        <v>209</v>
      </c>
      <c r="B10" s="28" t="s">
        <v>210</v>
      </c>
      <c r="C10" s="30">
        <v>43846</v>
      </c>
      <c r="D10" s="31" t="str">
        <f t="shared" si="1"/>
        <v/>
      </c>
      <c r="E10" s="31" t="str">
        <f t="shared" si="1"/>
        <v/>
      </c>
      <c r="F10" s="31" t="str">
        <f t="shared" si="1"/>
        <v>X</v>
      </c>
      <c r="G10" s="31" t="str">
        <f t="shared" si="1"/>
        <v/>
      </c>
      <c r="H10" s="31" t="str">
        <f t="shared" si="1"/>
        <v/>
      </c>
      <c r="I10" s="31" t="str">
        <f t="shared" si="1"/>
        <v/>
      </c>
      <c r="J10" s="31" t="str">
        <f t="shared" si="1"/>
        <v/>
      </c>
      <c r="K10" s="31" t="str">
        <f t="shared" si="1"/>
        <v/>
      </c>
      <c r="L10" s="31" t="str">
        <f t="shared" si="1"/>
        <v/>
      </c>
      <c r="M10" s="31" t="str">
        <f t="shared" si="1"/>
        <v/>
      </c>
      <c r="N10" s="31" t="str">
        <f t="shared" si="1"/>
        <v/>
      </c>
      <c r="O10" s="31" t="str">
        <f t="shared" si="1"/>
        <v/>
      </c>
      <c r="P10" s="31" t="str">
        <f t="shared" si="1"/>
        <v/>
      </c>
      <c r="Q10" s="31" t="str">
        <f t="shared" si="1"/>
        <v/>
      </c>
      <c r="R10" s="31" t="str">
        <f t="shared" si="1"/>
        <v/>
      </c>
      <c r="S10" s="31" t="str">
        <f t="shared" si="1"/>
        <v/>
      </c>
      <c r="T10" s="31" t="str">
        <f t="shared" si="2"/>
        <v/>
      </c>
      <c r="U10" s="31" t="str">
        <f t="shared" si="2"/>
        <v/>
      </c>
      <c r="V10" s="31" t="str">
        <f t="shared" si="2"/>
        <v/>
      </c>
      <c r="W10" s="31" t="str">
        <f t="shared" si="2"/>
        <v/>
      </c>
      <c r="X10" s="31" t="str">
        <f t="shared" si="2"/>
        <v/>
      </c>
      <c r="Y10" s="31" t="str">
        <f t="shared" si="2"/>
        <v/>
      </c>
      <c r="Z10" s="31" t="str">
        <f t="shared" si="2"/>
        <v/>
      </c>
      <c r="AA10" s="31" t="str">
        <f t="shared" si="2"/>
        <v/>
      </c>
      <c r="AB10" s="31" t="str">
        <f t="shared" si="2"/>
        <v/>
      </c>
      <c r="AC10" s="31" t="str">
        <f t="shared" si="2"/>
        <v/>
      </c>
      <c r="AD10" s="31" t="str">
        <f t="shared" si="2"/>
        <v/>
      </c>
      <c r="AE10" s="31" t="str">
        <f t="shared" si="2"/>
        <v/>
      </c>
      <c r="AF10" s="31" t="str">
        <f t="shared" si="2"/>
        <v/>
      </c>
      <c r="AG10" s="31" t="str">
        <f t="shared" si="2"/>
        <v/>
      </c>
      <c r="AH10" s="31" t="str">
        <f t="shared" si="2"/>
        <v/>
      </c>
      <c r="AI10" s="31" t="str">
        <f t="shared" si="2"/>
        <v/>
      </c>
      <c r="AJ10" s="31" t="str">
        <f t="shared" si="3"/>
        <v/>
      </c>
      <c r="AK10" s="31" t="str">
        <f t="shared" si="3"/>
        <v/>
      </c>
      <c r="AL10" s="31" t="str">
        <f t="shared" si="3"/>
        <v/>
      </c>
      <c r="AM10" s="31" t="str">
        <f t="shared" si="3"/>
        <v/>
      </c>
      <c r="AN10" s="31" t="str">
        <f t="shared" si="3"/>
        <v/>
      </c>
      <c r="AO10" s="31" t="str">
        <f t="shared" si="3"/>
        <v/>
      </c>
      <c r="AP10" s="31" t="str">
        <f t="shared" si="3"/>
        <v/>
      </c>
      <c r="AQ10" s="31" t="str">
        <f t="shared" si="3"/>
        <v/>
      </c>
      <c r="AR10" s="31" t="str">
        <f t="shared" si="3"/>
        <v/>
      </c>
      <c r="AS10" s="31" t="str">
        <f t="shared" si="3"/>
        <v/>
      </c>
      <c r="AT10" s="31" t="str">
        <f t="shared" si="3"/>
        <v/>
      </c>
      <c r="AU10" s="31" t="str">
        <f t="shared" si="3"/>
        <v/>
      </c>
      <c r="AV10" s="31" t="str">
        <f t="shared" si="3"/>
        <v/>
      </c>
      <c r="AW10" s="31" t="str">
        <f t="shared" si="3"/>
        <v/>
      </c>
      <c r="AX10" s="31" t="str">
        <f t="shared" si="3"/>
        <v/>
      </c>
      <c r="AY10" s="31" t="str">
        <f t="shared" si="3"/>
        <v/>
      </c>
      <c r="AZ10" s="31" t="str">
        <f t="shared" si="4"/>
        <v/>
      </c>
      <c r="BA10" s="31" t="str">
        <f t="shared" si="4"/>
        <v/>
      </c>
      <c r="BB10" s="31" t="str">
        <f t="shared" si="4"/>
        <v/>
      </c>
      <c r="BC10" s="31" t="str">
        <f t="shared" si="4"/>
        <v/>
      </c>
    </row>
    <row r="11" spans="1:55">
      <c r="A11" s="28" t="s">
        <v>211</v>
      </c>
      <c r="B11" s="28" t="s">
        <v>212</v>
      </c>
      <c r="C11" s="30">
        <v>43849</v>
      </c>
      <c r="D11" s="31" t="str">
        <f t="shared" si="1"/>
        <v/>
      </c>
      <c r="E11" s="31" t="str">
        <f t="shared" si="1"/>
        <v/>
      </c>
      <c r="F11" s="31" t="str">
        <f t="shared" si="1"/>
        <v/>
      </c>
      <c r="G11" s="31" t="str">
        <f t="shared" si="1"/>
        <v>X</v>
      </c>
      <c r="H11" s="31" t="str">
        <f t="shared" si="1"/>
        <v/>
      </c>
      <c r="I11" s="31" t="str">
        <f t="shared" si="1"/>
        <v/>
      </c>
      <c r="J11" s="31" t="str">
        <f t="shared" si="1"/>
        <v/>
      </c>
      <c r="K11" s="31" t="str">
        <f t="shared" si="1"/>
        <v/>
      </c>
      <c r="L11" s="31" t="str">
        <f t="shared" si="1"/>
        <v/>
      </c>
      <c r="M11" s="31" t="str">
        <f t="shared" si="1"/>
        <v/>
      </c>
      <c r="N11" s="31" t="str">
        <f t="shared" si="1"/>
        <v/>
      </c>
      <c r="O11" s="31" t="str">
        <f t="shared" si="1"/>
        <v/>
      </c>
      <c r="P11" s="31" t="str">
        <f t="shared" si="1"/>
        <v/>
      </c>
      <c r="Q11" s="31" t="str">
        <f t="shared" si="1"/>
        <v/>
      </c>
      <c r="R11" s="31" t="str">
        <f t="shared" si="1"/>
        <v/>
      </c>
      <c r="S11" s="31" t="str">
        <f t="shared" si="1"/>
        <v/>
      </c>
      <c r="T11" s="31" t="str">
        <f t="shared" si="2"/>
        <v/>
      </c>
      <c r="U11" s="31" t="str">
        <f t="shared" si="2"/>
        <v/>
      </c>
      <c r="V11" s="31" t="str">
        <f t="shared" si="2"/>
        <v/>
      </c>
      <c r="W11" s="31" t="str">
        <f t="shared" si="2"/>
        <v/>
      </c>
      <c r="X11" s="31" t="str">
        <f t="shared" si="2"/>
        <v/>
      </c>
      <c r="Y11" s="31" t="str">
        <f t="shared" si="2"/>
        <v/>
      </c>
      <c r="Z11" s="31" t="str">
        <f t="shared" si="2"/>
        <v/>
      </c>
      <c r="AA11" s="31" t="str">
        <f t="shared" si="2"/>
        <v/>
      </c>
      <c r="AB11" s="31" t="str">
        <f t="shared" si="2"/>
        <v/>
      </c>
      <c r="AC11" s="31" t="str">
        <f t="shared" si="2"/>
        <v/>
      </c>
      <c r="AD11" s="31" t="str">
        <f t="shared" si="2"/>
        <v/>
      </c>
      <c r="AE11" s="31" t="str">
        <f t="shared" si="2"/>
        <v/>
      </c>
      <c r="AF11" s="31" t="str">
        <f t="shared" si="2"/>
        <v/>
      </c>
      <c r="AG11" s="31" t="str">
        <f t="shared" si="2"/>
        <v/>
      </c>
      <c r="AH11" s="31" t="str">
        <f t="shared" si="2"/>
        <v/>
      </c>
      <c r="AI11" s="31" t="str">
        <f t="shared" si="2"/>
        <v/>
      </c>
      <c r="AJ11" s="31" t="str">
        <f t="shared" si="3"/>
        <v/>
      </c>
      <c r="AK11" s="31" t="str">
        <f t="shared" si="3"/>
        <v/>
      </c>
      <c r="AL11" s="31" t="str">
        <f t="shared" si="3"/>
        <v/>
      </c>
      <c r="AM11" s="31" t="str">
        <f t="shared" si="3"/>
        <v/>
      </c>
      <c r="AN11" s="31" t="str">
        <f t="shared" si="3"/>
        <v/>
      </c>
      <c r="AO11" s="31" t="str">
        <f t="shared" si="3"/>
        <v/>
      </c>
      <c r="AP11" s="31" t="str">
        <f t="shared" si="3"/>
        <v/>
      </c>
      <c r="AQ11" s="31" t="str">
        <f t="shared" si="3"/>
        <v/>
      </c>
      <c r="AR11" s="31" t="str">
        <f t="shared" si="3"/>
        <v/>
      </c>
      <c r="AS11" s="31" t="str">
        <f t="shared" si="3"/>
        <v/>
      </c>
      <c r="AT11" s="31" t="str">
        <f t="shared" si="3"/>
        <v/>
      </c>
      <c r="AU11" s="31" t="str">
        <f t="shared" si="3"/>
        <v/>
      </c>
      <c r="AV11" s="31" t="str">
        <f t="shared" si="3"/>
        <v/>
      </c>
      <c r="AW11" s="31" t="str">
        <f t="shared" si="3"/>
        <v/>
      </c>
      <c r="AX11" s="31" t="str">
        <f t="shared" si="3"/>
        <v/>
      </c>
      <c r="AY11" s="31" t="str">
        <f t="shared" si="3"/>
        <v/>
      </c>
      <c r="AZ11" s="31" t="str">
        <f t="shared" si="4"/>
        <v/>
      </c>
      <c r="BA11" s="31" t="str">
        <f t="shared" si="4"/>
        <v/>
      </c>
      <c r="BB11" s="31" t="str">
        <f t="shared" si="4"/>
        <v/>
      </c>
      <c r="BC11" s="31" t="str">
        <f t="shared" si="4"/>
        <v/>
      </c>
    </row>
    <row r="12" spans="1:55">
      <c r="A12" s="28" t="s">
        <v>213</v>
      </c>
      <c r="B12" s="28" t="s">
        <v>214</v>
      </c>
      <c r="C12" s="30">
        <v>43901</v>
      </c>
      <c r="D12" s="31" t="str">
        <f t="shared" si="1"/>
        <v/>
      </c>
      <c r="E12" s="31" t="str">
        <f t="shared" si="1"/>
        <v/>
      </c>
      <c r="F12" s="31" t="str">
        <f t="shared" si="1"/>
        <v/>
      </c>
      <c r="G12" s="31" t="str">
        <f t="shared" si="1"/>
        <v/>
      </c>
      <c r="H12" s="31" t="str">
        <f t="shared" si="1"/>
        <v/>
      </c>
      <c r="I12" s="31" t="str">
        <f t="shared" si="1"/>
        <v/>
      </c>
      <c r="J12" s="31" t="str">
        <f t="shared" si="1"/>
        <v/>
      </c>
      <c r="K12" s="31" t="str">
        <f t="shared" si="1"/>
        <v/>
      </c>
      <c r="L12" s="31" t="str">
        <f t="shared" si="1"/>
        <v/>
      </c>
      <c r="M12" s="31" t="str">
        <f t="shared" si="1"/>
        <v/>
      </c>
      <c r="N12" s="31" t="str">
        <f t="shared" si="1"/>
        <v>X</v>
      </c>
      <c r="O12" s="31" t="str">
        <f t="shared" si="1"/>
        <v/>
      </c>
      <c r="P12" s="31" t="str">
        <f t="shared" si="1"/>
        <v/>
      </c>
      <c r="Q12" s="31" t="str">
        <f t="shared" si="1"/>
        <v/>
      </c>
      <c r="R12" s="31" t="str">
        <f t="shared" si="1"/>
        <v/>
      </c>
      <c r="S12" s="31" t="str">
        <f t="shared" si="1"/>
        <v/>
      </c>
      <c r="T12" s="31" t="str">
        <f t="shared" si="2"/>
        <v/>
      </c>
      <c r="U12" s="31" t="str">
        <f t="shared" si="2"/>
        <v/>
      </c>
      <c r="V12" s="31" t="str">
        <f t="shared" si="2"/>
        <v/>
      </c>
      <c r="W12" s="31" t="str">
        <f t="shared" si="2"/>
        <v/>
      </c>
      <c r="X12" s="31" t="str">
        <f t="shared" si="2"/>
        <v/>
      </c>
      <c r="Y12" s="31" t="str">
        <f t="shared" si="2"/>
        <v/>
      </c>
      <c r="Z12" s="31" t="str">
        <f t="shared" si="2"/>
        <v/>
      </c>
      <c r="AA12" s="31" t="str">
        <f t="shared" si="2"/>
        <v/>
      </c>
      <c r="AB12" s="31" t="str">
        <f t="shared" si="2"/>
        <v/>
      </c>
      <c r="AC12" s="31" t="str">
        <f t="shared" si="2"/>
        <v/>
      </c>
      <c r="AD12" s="31" t="str">
        <f t="shared" si="2"/>
        <v/>
      </c>
      <c r="AE12" s="31" t="str">
        <f t="shared" si="2"/>
        <v/>
      </c>
      <c r="AF12" s="31" t="str">
        <f t="shared" si="2"/>
        <v/>
      </c>
      <c r="AG12" s="31" t="str">
        <f t="shared" si="2"/>
        <v/>
      </c>
      <c r="AH12" s="31" t="str">
        <f t="shared" si="2"/>
        <v/>
      </c>
      <c r="AI12" s="31" t="str">
        <f t="shared" si="2"/>
        <v/>
      </c>
      <c r="AJ12" s="31" t="str">
        <f t="shared" si="3"/>
        <v/>
      </c>
      <c r="AK12" s="31" t="str">
        <f t="shared" si="3"/>
        <v/>
      </c>
      <c r="AL12" s="31" t="str">
        <f t="shared" si="3"/>
        <v/>
      </c>
      <c r="AM12" s="31" t="str">
        <f t="shared" si="3"/>
        <v/>
      </c>
      <c r="AN12" s="31" t="str">
        <f t="shared" si="3"/>
        <v/>
      </c>
      <c r="AO12" s="31" t="str">
        <f t="shared" si="3"/>
        <v/>
      </c>
      <c r="AP12" s="31" t="str">
        <f t="shared" si="3"/>
        <v/>
      </c>
      <c r="AQ12" s="31" t="str">
        <f t="shared" si="3"/>
        <v/>
      </c>
      <c r="AR12" s="31" t="str">
        <f t="shared" si="3"/>
        <v/>
      </c>
      <c r="AS12" s="31" t="str">
        <f t="shared" si="3"/>
        <v/>
      </c>
      <c r="AT12" s="31" t="str">
        <f t="shared" si="3"/>
        <v/>
      </c>
      <c r="AU12" s="31" t="str">
        <f t="shared" si="3"/>
        <v/>
      </c>
      <c r="AV12" s="31" t="str">
        <f t="shared" si="3"/>
        <v/>
      </c>
      <c r="AW12" s="31" t="str">
        <f t="shared" si="3"/>
        <v/>
      </c>
      <c r="AX12" s="31" t="str">
        <f t="shared" si="3"/>
        <v/>
      </c>
      <c r="AY12" s="31" t="str">
        <f t="shared" si="3"/>
        <v/>
      </c>
      <c r="AZ12" s="31" t="str">
        <f t="shared" si="4"/>
        <v/>
      </c>
      <c r="BA12" s="31" t="str">
        <f t="shared" si="4"/>
        <v/>
      </c>
      <c r="BB12" s="31" t="str">
        <f t="shared" si="4"/>
        <v/>
      </c>
      <c r="BC12" s="31" t="str">
        <f t="shared" si="4"/>
        <v/>
      </c>
    </row>
    <row r="13" spans="1:55">
      <c r="A13" s="28" t="s">
        <v>213</v>
      </c>
      <c r="B13" s="28" t="s">
        <v>215</v>
      </c>
      <c r="C13" s="30">
        <v>44014</v>
      </c>
      <c r="D13" s="31" t="str">
        <f t="shared" si="1"/>
        <v/>
      </c>
      <c r="E13" s="31" t="str">
        <f t="shared" si="1"/>
        <v/>
      </c>
      <c r="F13" s="31" t="str">
        <f t="shared" si="1"/>
        <v/>
      </c>
      <c r="G13" s="31" t="str">
        <f t="shared" si="1"/>
        <v/>
      </c>
      <c r="H13" s="31" t="str">
        <f t="shared" si="1"/>
        <v/>
      </c>
      <c r="I13" s="31" t="str">
        <f t="shared" si="1"/>
        <v/>
      </c>
      <c r="J13" s="31" t="str">
        <f t="shared" si="1"/>
        <v/>
      </c>
      <c r="K13" s="31" t="str">
        <f t="shared" si="1"/>
        <v/>
      </c>
      <c r="L13" s="31" t="str">
        <f t="shared" si="1"/>
        <v/>
      </c>
      <c r="M13" s="31" t="str">
        <f t="shared" si="1"/>
        <v/>
      </c>
      <c r="N13" s="31" t="str">
        <f t="shared" si="1"/>
        <v/>
      </c>
      <c r="O13" s="31" t="str">
        <f t="shared" si="1"/>
        <v/>
      </c>
      <c r="P13" s="31" t="str">
        <f t="shared" si="1"/>
        <v/>
      </c>
      <c r="Q13" s="31" t="str">
        <f t="shared" si="1"/>
        <v/>
      </c>
      <c r="R13" s="31" t="str">
        <f t="shared" si="1"/>
        <v/>
      </c>
      <c r="S13" s="31" t="str">
        <f t="shared" si="1"/>
        <v/>
      </c>
      <c r="T13" s="31" t="str">
        <f t="shared" si="2"/>
        <v/>
      </c>
      <c r="U13" s="31" t="str">
        <f t="shared" si="2"/>
        <v/>
      </c>
      <c r="V13" s="31" t="str">
        <f t="shared" si="2"/>
        <v/>
      </c>
      <c r="W13" s="31" t="str">
        <f t="shared" si="2"/>
        <v/>
      </c>
      <c r="X13" s="31" t="str">
        <f t="shared" si="2"/>
        <v/>
      </c>
      <c r="Y13" s="31" t="str">
        <f t="shared" si="2"/>
        <v/>
      </c>
      <c r="Z13" s="31" t="str">
        <f t="shared" si="2"/>
        <v/>
      </c>
      <c r="AA13" s="31" t="str">
        <f t="shared" si="2"/>
        <v/>
      </c>
      <c r="AB13" s="31" t="str">
        <f t="shared" si="2"/>
        <v/>
      </c>
      <c r="AC13" s="31" t="str">
        <f t="shared" si="2"/>
        <v/>
      </c>
      <c r="AD13" s="31" t="str">
        <f t="shared" si="2"/>
        <v>X</v>
      </c>
      <c r="AE13" s="31" t="str">
        <f t="shared" si="2"/>
        <v/>
      </c>
      <c r="AF13" s="31" t="str">
        <f t="shared" si="2"/>
        <v/>
      </c>
      <c r="AG13" s="31" t="str">
        <f t="shared" si="2"/>
        <v/>
      </c>
      <c r="AH13" s="31" t="str">
        <f t="shared" si="2"/>
        <v/>
      </c>
      <c r="AI13" s="31" t="str">
        <f t="shared" si="2"/>
        <v/>
      </c>
      <c r="AJ13" s="31" t="str">
        <f t="shared" si="3"/>
        <v/>
      </c>
      <c r="AK13" s="31" t="str">
        <f t="shared" si="3"/>
        <v/>
      </c>
      <c r="AL13" s="31" t="str">
        <f t="shared" si="3"/>
        <v/>
      </c>
      <c r="AM13" s="31" t="str">
        <f t="shared" si="3"/>
        <v/>
      </c>
      <c r="AN13" s="31" t="str">
        <f t="shared" si="3"/>
        <v/>
      </c>
      <c r="AO13" s="31" t="str">
        <f t="shared" si="3"/>
        <v/>
      </c>
      <c r="AP13" s="31" t="str">
        <f t="shared" si="3"/>
        <v/>
      </c>
      <c r="AQ13" s="31" t="str">
        <f t="shared" si="3"/>
        <v/>
      </c>
      <c r="AR13" s="31" t="str">
        <f t="shared" si="3"/>
        <v/>
      </c>
      <c r="AS13" s="31" t="str">
        <f t="shared" si="3"/>
        <v/>
      </c>
      <c r="AT13" s="31" t="str">
        <f t="shared" si="3"/>
        <v/>
      </c>
      <c r="AU13" s="31" t="str">
        <f t="shared" si="3"/>
        <v/>
      </c>
      <c r="AV13" s="31" t="str">
        <f t="shared" si="3"/>
        <v/>
      </c>
      <c r="AW13" s="31" t="str">
        <f t="shared" si="3"/>
        <v/>
      </c>
      <c r="AX13" s="31" t="str">
        <f t="shared" si="3"/>
        <v/>
      </c>
      <c r="AY13" s="31" t="str">
        <f t="shared" si="3"/>
        <v/>
      </c>
      <c r="AZ13" s="31" t="str">
        <f t="shared" si="4"/>
        <v/>
      </c>
      <c r="BA13" s="31" t="str">
        <f t="shared" si="4"/>
        <v/>
      </c>
      <c r="BB13" s="31" t="str">
        <f t="shared" si="4"/>
        <v/>
      </c>
      <c r="BC13" s="31" t="str">
        <f t="shared" si="4"/>
        <v/>
      </c>
    </row>
    <row r="14" spans="1:55">
      <c r="A14" s="28" t="s">
        <v>216</v>
      </c>
      <c r="B14" s="28" t="s">
        <v>217</v>
      </c>
      <c r="C14" s="30">
        <v>43892</v>
      </c>
      <c r="D14" s="31" t="str">
        <f t="shared" si="1"/>
        <v/>
      </c>
      <c r="E14" s="31" t="str">
        <f t="shared" si="1"/>
        <v/>
      </c>
      <c r="F14" s="31" t="str">
        <f t="shared" si="1"/>
        <v/>
      </c>
      <c r="G14" s="31" t="str">
        <f t="shared" si="1"/>
        <v/>
      </c>
      <c r="H14" s="31" t="str">
        <f t="shared" si="1"/>
        <v/>
      </c>
      <c r="I14" s="31" t="str">
        <f t="shared" si="1"/>
        <v/>
      </c>
      <c r="J14" s="31" t="str">
        <f t="shared" si="1"/>
        <v/>
      </c>
      <c r="K14" s="31" t="str">
        <f t="shared" si="1"/>
        <v/>
      </c>
      <c r="L14" s="31" t="str">
        <f t="shared" si="1"/>
        <v/>
      </c>
      <c r="M14" s="31" t="str">
        <f t="shared" si="1"/>
        <v>X</v>
      </c>
      <c r="N14" s="31" t="str">
        <f t="shared" si="1"/>
        <v/>
      </c>
      <c r="O14" s="31" t="str">
        <f t="shared" si="1"/>
        <v/>
      </c>
      <c r="P14" s="31" t="str">
        <f t="shared" si="1"/>
        <v/>
      </c>
      <c r="Q14" s="31" t="str">
        <f t="shared" si="1"/>
        <v/>
      </c>
      <c r="R14" s="31" t="str">
        <f t="shared" si="1"/>
        <v/>
      </c>
      <c r="S14" s="31" t="str">
        <f t="shared" si="1"/>
        <v/>
      </c>
      <c r="T14" s="31" t="str">
        <f t="shared" si="2"/>
        <v/>
      </c>
      <c r="U14" s="31" t="str">
        <f t="shared" si="2"/>
        <v/>
      </c>
      <c r="V14" s="31" t="str">
        <f t="shared" si="2"/>
        <v/>
      </c>
      <c r="W14" s="31" t="str">
        <f t="shared" si="2"/>
        <v/>
      </c>
      <c r="X14" s="31" t="str">
        <f t="shared" si="2"/>
        <v/>
      </c>
      <c r="Y14" s="31" t="str">
        <f t="shared" si="2"/>
        <v/>
      </c>
      <c r="Z14" s="31" t="str">
        <f t="shared" si="2"/>
        <v/>
      </c>
      <c r="AA14" s="31" t="str">
        <f t="shared" si="2"/>
        <v/>
      </c>
      <c r="AB14" s="31" t="str">
        <f t="shared" si="2"/>
        <v/>
      </c>
      <c r="AC14" s="31" t="str">
        <f t="shared" si="2"/>
        <v/>
      </c>
      <c r="AD14" s="31" t="str">
        <f t="shared" si="2"/>
        <v/>
      </c>
      <c r="AE14" s="31" t="str">
        <f t="shared" si="2"/>
        <v/>
      </c>
      <c r="AF14" s="31" t="str">
        <f t="shared" si="2"/>
        <v/>
      </c>
      <c r="AG14" s="31" t="str">
        <f t="shared" si="2"/>
        <v/>
      </c>
      <c r="AH14" s="31" t="str">
        <f t="shared" si="2"/>
        <v/>
      </c>
      <c r="AI14" s="31" t="str">
        <f t="shared" si="2"/>
        <v/>
      </c>
      <c r="AJ14" s="31" t="str">
        <f t="shared" si="3"/>
        <v/>
      </c>
      <c r="AK14" s="31" t="str">
        <f t="shared" si="3"/>
        <v/>
      </c>
      <c r="AL14" s="31" t="str">
        <f t="shared" si="3"/>
        <v/>
      </c>
      <c r="AM14" s="31" t="str">
        <f t="shared" si="3"/>
        <v/>
      </c>
      <c r="AN14" s="31" t="str">
        <f t="shared" si="3"/>
        <v/>
      </c>
      <c r="AO14" s="31" t="str">
        <f t="shared" si="3"/>
        <v/>
      </c>
      <c r="AP14" s="31" t="str">
        <f t="shared" si="3"/>
        <v/>
      </c>
      <c r="AQ14" s="31" t="str">
        <f t="shared" si="3"/>
        <v/>
      </c>
      <c r="AR14" s="31" t="str">
        <f t="shared" si="3"/>
        <v/>
      </c>
      <c r="AS14" s="31" t="str">
        <f t="shared" si="3"/>
        <v/>
      </c>
      <c r="AT14" s="31" t="str">
        <f t="shared" si="3"/>
        <v/>
      </c>
      <c r="AU14" s="31" t="str">
        <f t="shared" si="3"/>
        <v/>
      </c>
      <c r="AV14" s="31" t="str">
        <f t="shared" si="3"/>
        <v/>
      </c>
      <c r="AW14" s="31" t="str">
        <f t="shared" si="3"/>
        <v/>
      </c>
      <c r="AX14" s="31" t="str">
        <f t="shared" si="3"/>
        <v/>
      </c>
      <c r="AY14" s="31" t="str">
        <f t="shared" si="3"/>
        <v/>
      </c>
      <c r="AZ14" s="31" t="str">
        <f t="shared" si="4"/>
        <v/>
      </c>
      <c r="BA14" s="31" t="str">
        <f t="shared" si="4"/>
        <v/>
      </c>
      <c r="BB14" s="31" t="str">
        <f t="shared" si="4"/>
        <v/>
      </c>
      <c r="BC14" s="31" t="str">
        <f t="shared" si="4"/>
        <v/>
      </c>
    </row>
    <row r="15" spans="1:55">
      <c r="A15" s="28" t="s">
        <v>216</v>
      </c>
      <c r="B15" s="28" t="s">
        <v>218</v>
      </c>
      <c r="C15" s="30">
        <v>44151</v>
      </c>
      <c r="D15" s="31" t="str">
        <f t="shared" si="1"/>
        <v/>
      </c>
      <c r="E15" s="31" t="str">
        <f t="shared" si="1"/>
        <v/>
      </c>
      <c r="F15" s="31" t="str">
        <f t="shared" si="1"/>
        <v/>
      </c>
      <c r="G15" s="31" t="str">
        <f t="shared" si="1"/>
        <v/>
      </c>
      <c r="H15" s="31" t="str">
        <f t="shared" si="1"/>
        <v/>
      </c>
      <c r="I15" s="31" t="str">
        <f t="shared" si="1"/>
        <v/>
      </c>
      <c r="J15" s="31" t="str">
        <f t="shared" si="1"/>
        <v/>
      </c>
      <c r="K15" s="31" t="str">
        <f t="shared" si="1"/>
        <v/>
      </c>
      <c r="L15" s="31" t="str">
        <f t="shared" si="1"/>
        <v/>
      </c>
      <c r="M15" s="31" t="str">
        <f t="shared" si="1"/>
        <v/>
      </c>
      <c r="N15" s="31" t="str">
        <f t="shared" si="1"/>
        <v/>
      </c>
      <c r="O15" s="31" t="str">
        <f t="shared" si="1"/>
        <v/>
      </c>
      <c r="P15" s="31" t="str">
        <f t="shared" si="1"/>
        <v/>
      </c>
      <c r="Q15" s="31" t="str">
        <f t="shared" si="1"/>
        <v/>
      </c>
      <c r="R15" s="31" t="str">
        <f t="shared" si="1"/>
        <v/>
      </c>
      <c r="S15" s="31" t="str">
        <f t="shared" si="1"/>
        <v/>
      </c>
      <c r="T15" s="31" t="str">
        <f t="shared" si="2"/>
        <v/>
      </c>
      <c r="U15" s="31" t="str">
        <f t="shared" si="2"/>
        <v/>
      </c>
      <c r="V15" s="31" t="str">
        <f t="shared" si="2"/>
        <v/>
      </c>
      <c r="W15" s="31" t="str">
        <f t="shared" si="2"/>
        <v/>
      </c>
      <c r="X15" s="31" t="str">
        <f t="shared" si="2"/>
        <v/>
      </c>
      <c r="Y15" s="31" t="str">
        <f t="shared" si="2"/>
        <v/>
      </c>
      <c r="Z15" s="31" t="str">
        <f t="shared" si="2"/>
        <v/>
      </c>
      <c r="AA15" s="31" t="str">
        <f t="shared" si="2"/>
        <v/>
      </c>
      <c r="AB15" s="31" t="str">
        <f t="shared" si="2"/>
        <v/>
      </c>
      <c r="AC15" s="31" t="str">
        <f t="shared" si="2"/>
        <v/>
      </c>
      <c r="AD15" s="31" t="str">
        <f t="shared" si="2"/>
        <v/>
      </c>
      <c r="AE15" s="31" t="str">
        <f t="shared" si="2"/>
        <v/>
      </c>
      <c r="AF15" s="31" t="str">
        <f t="shared" si="2"/>
        <v/>
      </c>
      <c r="AG15" s="31" t="str">
        <f t="shared" si="2"/>
        <v/>
      </c>
      <c r="AH15" s="31" t="str">
        <f t="shared" si="2"/>
        <v/>
      </c>
      <c r="AI15" s="31" t="str">
        <f t="shared" si="2"/>
        <v/>
      </c>
      <c r="AJ15" s="31" t="str">
        <f t="shared" si="3"/>
        <v/>
      </c>
      <c r="AK15" s="31" t="str">
        <f t="shared" si="3"/>
        <v/>
      </c>
      <c r="AL15" s="31" t="str">
        <f t="shared" si="3"/>
        <v/>
      </c>
      <c r="AM15" s="31" t="str">
        <f t="shared" si="3"/>
        <v/>
      </c>
      <c r="AN15" s="31" t="str">
        <f t="shared" si="3"/>
        <v/>
      </c>
      <c r="AO15" s="31" t="str">
        <f t="shared" si="3"/>
        <v/>
      </c>
      <c r="AP15" s="31" t="str">
        <f t="shared" si="3"/>
        <v/>
      </c>
      <c r="AQ15" s="31" t="str">
        <f t="shared" si="3"/>
        <v/>
      </c>
      <c r="AR15" s="31" t="str">
        <f t="shared" si="3"/>
        <v/>
      </c>
      <c r="AS15" s="31" t="str">
        <f t="shared" si="3"/>
        <v/>
      </c>
      <c r="AT15" s="31" t="str">
        <f t="shared" si="3"/>
        <v/>
      </c>
      <c r="AU15" s="31" t="str">
        <f t="shared" si="3"/>
        <v/>
      </c>
      <c r="AV15" s="31" t="str">
        <f t="shared" si="3"/>
        <v/>
      </c>
      <c r="AW15" s="31" t="str">
        <f t="shared" si="3"/>
        <v/>
      </c>
      <c r="AX15" s="31" t="str">
        <f t="shared" si="3"/>
        <v>X</v>
      </c>
      <c r="AY15" s="31" t="str">
        <f t="shared" si="3"/>
        <v/>
      </c>
      <c r="AZ15" s="31" t="str">
        <f t="shared" si="4"/>
        <v/>
      </c>
      <c r="BA15" s="31" t="str">
        <f t="shared" si="4"/>
        <v/>
      </c>
      <c r="BB15" s="31" t="str">
        <f t="shared" si="4"/>
        <v/>
      </c>
      <c r="BC15" s="31" t="str">
        <f t="shared" si="4"/>
        <v/>
      </c>
    </row>
    <row r="16" spans="1:55">
      <c r="A16" s="28" t="s">
        <v>219</v>
      </c>
      <c r="B16" s="28" t="s">
        <v>220</v>
      </c>
      <c r="C16" s="30">
        <v>43954</v>
      </c>
      <c r="D16" s="31" t="str">
        <f t="shared" si="1"/>
        <v/>
      </c>
      <c r="E16" s="31" t="str">
        <f t="shared" si="1"/>
        <v/>
      </c>
      <c r="F16" s="31" t="str">
        <f t="shared" si="1"/>
        <v/>
      </c>
      <c r="G16" s="31" t="str">
        <f t="shared" si="1"/>
        <v/>
      </c>
      <c r="H16" s="31" t="str">
        <f t="shared" si="1"/>
        <v/>
      </c>
      <c r="I16" s="31" t="str">
        <f t="shared" si="1"/>
        <v/>
      </c>
      <c r="J16" s="31" t="str">
        <f t="shared" si="1"/>
        <v/>
      </c>
      <c r="K16" s="31" t="str">
        <f t="shared" si="1"/>
        <v/>
      </c>
      <c r="L16" s="31" t="str">
        <f t="shared" si="1"/>
        <v/>
      </c>
      <c r="M16" s="31" t="str">
        <f t="shared" si="1"/>
        <v/>
      </c>
      <c r="N16" s="31" t="str">
        <f t="shared" si="1"/>
        <v/>
      </c>
      <c r="O16" s="31" t="str">
        <f t="shared" si="1"/>
        <v/>
      </c>
      <c r="P16" s="31" t="str">
        <f t="shared" si="1"/>
        <v/>
      </c>
      <c r="Q16" s="31" t="str">
        <f t="shared" si="1"/>
        <v/>
      </c>
      <c r="R16" s="31" t="str">
        <f t="shared" si="1"/>
        <v/>
      </c>
      <c r="S16" s="31" t="str">
        <f t="shared" si="1"/>
        <v/>
      </c>
      <c r="T16" s="31" t="str">
        <f t="shared" si="2"/>
        <v/>
      </c>
      <c r="U16" s="31" t="str">
        <f t="shared" si="2"/>
        <v/>
      </c>
      <c r="V16" s="31" t="str">
        <f t="shared" si="2"/>
        <v>X</v>
      </c>
      <c r="W16" s="31" t="str">
        <f t="shared" si="2"/>
        <v/>
      </c>
      <c r="X16" s="31" t="str">
        <f t="shared" si="2"/>
        <v/>
      </c>
      <c r="Y16" s="31" t="str">
        <f t="shared" si="2"/>
        <v/>
      </c>
      <c r="Z16" s="31" t="str">
        <f t="shared" si="2"/>
        <v/>
      </c>
      <c r="AA16" s="31" t="str">
        <f t="shared" si="2"/>
        <v/>
      </c>
      <c r="AB16" s="31" t="str">
        <f t="shared" si="2"/>
        <v/>
      </c>
      <c r="AC16" s="31" t="str">
        <f t="shared" si="2"/>
        <v/>
      </c>
      <c r="AD16" s="31" t="str">
        <f t="shared" si="2"/>
        <v/>
      </c>
      <c r="AE16" s="31" t="str">
        <f t="shared" si="2"/>
        <v/>
      </c>
      <c r="AF16" s="31" t="str">
        <f t="shared" si="2"/>
        <v/>
      </c>
      <c r="AG16" s="31" t="str">
        <f t="shared" si="2"/>
        <v/>
      </c>
      <c r="AH16" s="31" t="str">
        <f t="shared" si="2"/>
        <v/>
      </c>
      <c r="AI16" s="31" t="str">
        <f t="shared" si="2"/>
        <v/>
      </c>
      <c r="AJ16" s="31" t="str">
        <f t="shared" si="3"/>
        <v/>
      </c>
      <c r="AK16" s="31" t="str">
        <f t="shared" si="3"/>
        <v/>
      </c>
      <c r="AL16" s="31" t="str">
        <f t="shared" si="3"/>
        <v/>
      </c>
      <c r="AM16" s="31" t="str">
        <f t="shared" si="3"/>
        <v/>
      </c>
      <c r="AN16" s="31" t="str">
        <f t="shared" si="3"/>
        <v/>
      </c>
      <c r="AO16" s="31" t="str">
        <f t="shared" si="3"/>
        <v/>
      </c>
      <c r="AP16" s="31" t="str">
        <f t="shared" si="3"/>
        <v/>
      </c>
      <c r="AQ16" s="31" t="str">
        <f t="shared" si="3"/>
        <v/>
      </c>
      <c r="AR16" s="31" t="str">
        <f t="shared" si="3"/>
        <v/>
      </c>
      <c r="AS16" s="31" t="str">
        <f t="shared" si="3"/>
        <v/>
      </c>
      <c r="AT16" s="31" t="str">
        <f t="shared" si="3"/>
        <v/>
      </c>
      <c r="AU16" s="31" t="str">
        <f t="shared" si="3"/>
        <v/>
      </c>
      <c r="AV16" s="31" t="str">
        <f t="shared" si="3"/>
        <v/>
      </c>
      <c r="AW16" s="31" t="str">
        <f t="shared" si="3"/>
        <v/>
      </c>
      <c r="AX16" s="31" t="str">
        <f t="shared" si="3"/>
        <v/>
      </c>
      <c r="AY16" s="31" t="str">
        <f t="shared" si="3"/>
        <v/>
      </c>
      <c r="AZ16" s="31" t="str">
        <f t="shared" si="4"/>
        <v/>
      </c>
      <c r="BA16" s="31" t="str">
        <f t="shared" si="4"/>
        <v/>
      </c>
      <c r="BB16" s="31" t="str">
        <f t="shared" si="4"/>
        <v/>
      </c>
      <c r="BC16" s="31" t="str">
        <f t="shared" si="4"/>
        <v/>
      </c>
    </row>
    <row r="17" spans="1:55">
      <c r="A17" s="28" t="s">
        <v>221</v>
      </c>
      <c r="B17" s="28" t="s">
        <v>222</v>
      </c>
      <c r="C17" s="30">
        <v>43865</v>
      </c>
      <c r="D17" s="31" t="str">
        <f t="shared" si="1"/>
        <v/>
      </c>
      <c r="E17" s="31" t="str">
        <f t="shared" si="1"/>
        <v/>
      </c>
      <c r="F17" s="31" t="str">
        <f t="shared" si="1"/>
        <v/>
      </c>
      <c r="G17" s="31" t="str">
        <f t="shared" si="1"/>
        <v/>
      </c>
      <c r="H17" s="31" t="str">
        <f t="shared" si="1"/>
        <v/>
      </c>
      <c r="I17" s="31" t="str">
        <f t="shared" si="1"/>
        <v>X</v>
      </c>
      <c r="J17" s="31" t="str">
        <f t="shared" si="1"/>
        <v/>
      </c>
      <c r="K17" s="31" t="str">
        <f t="shared" si="1"/>
        <v/>
      </c>
      <c r="L17" s="31" t="str">
        <f t="shared" si="1"/>
        <v/>
      </c>
      <c r="M17" s="31" t="str">
        <f t="shared" si="1"/>
        <v/>
      </c>
      <c r="N17" s="31" t="str">
        <f t="shared" si="1"/>
        <v/>
      </c>
      <c r="O17" s="31" t="str">
        <f t="shared" si="1"/>
        <v/>
      </c>
      <c r="P17" s="31" t="str">
        <f t="shared" si="1"/>
        <v/>
      </c>
      <c r="Q17" s="31" t="str">
        <f t="shared" si="1"/>
        <v/>
      </c>
      <c r="R17" s="31" t="str">
        <f t="shared" si="1"/>
        <v/>
      </c>
      <c r="S17" s="31" t="str">
        <f t="shared" si="1"/>
        <v/>
      </c>
      <c r="T17" s="31" t="str">
        <f t="shared" si="2"/>
        <v/>
      </c>
      <c r="U17" s="31" t="str">
        <f t="shared" si="2"/>
        <v/>
      </c>
      <c r="V17" s="31" t="str">
        <f t="shared" si="2"/>
        <v/>
      </c>
      <c r="W17" s="31" t="str">
        <f t="shared" si="2"/>
        <v/>
      </c>
      <c r="X17" s="31" t="str">
        <f t="shared" si="2"/>
        <v/>
      </c>
      <c r="Y17" s="31" t="str">
        <f t="shared" si="2"/>
        <v/>
      </c>
      <c r="Z17" s="31" t="str">
        <f t="shared" si="2"/>
        <v/>
      </c>
      <c r="AA17" s="31" t="str">
        <f t="shared" si="2"/>
        <v/>
      </c>
      <c r="AB17" s="31" t="str">
        <f t="shared" si="2"/>
        <v/>
      </c>
      <c r="AC17" s="31" t="str">
        <f t="shared" si="2"/>
        <v/>
      </c>
      <c r="AD17" s="31" t="str">
        <f t="shared" si="2"/>
        <v/>
      </c>
      <c r="AE17" s="31" t="str">
        <f t="shared" si="2"/>
        <v/>
      </c>
      <c r="AF17" s="31" t="str">
        <f t="shared" si="2"/>
        <v/>
      </c>
      <c r="AG17" s="31" t="str">
        <f t="shared" si="2"/>
        <v/>
      </c>
      <c r="AH17" s="31" t="str">
        <f t="shared" si="2"/>
        <v/>
      </c>
      <c r="AI17" s="31" t="str">
        <f t="shared" si="2"/>
        <v/>
      </c>
      <c r="AJ17" s="31" t="str">
        <f t="shared" si="3"/>
        <v/>
      </c>
      <c r="AK17" s="31" t="str">
        <f t="shared" si="3"/>
        <v/>
      </c>
      <c r="AL17" s="31" t="str">
        <f t="shared" si="3"/>
        <v/>
      </c>
      <c r="AM17" s="31" t="str">
        <f t="shared" si="3"/>
        <v/>
      </c>
      <c r="AN17" s="31" t="str">
        <f t="shared" si="3"/>
        <v/>
      </c>
      <c r="AO17" s="31" t="str">
        <f t="shared" si="3"/>
        <v/>
      </c>
      <c r="AP17" s="31" t="str">
        <f t="shared" si="3"/>
        <v/>
      </c>
      <c r="AQ17" s="31" t="str">
        <f t="shared" si="3"/>
        <v/>
      </c>
      <c r="AR17" s="31" t="str">
        <f t="shared" si="3"/>
        <v/>
      </c>
      <c r="AS17" s="31" t="str">
        <f t="shared" si="3"/>
        <v/>
      </c>
      <c r="AT17" s="31" t="str">
        <f t="shared" si="3"/>
        <v/>
      </c>
      <c r="AU17" s="31" t="str">
        <f t="shared" si="3"/>
        <v/>
      </c>
      <c r="AV17" s="31" t="str">
        <f t="shared" si="3"/>
        <v/>
      </c>
      <c r="AW17" s="31" t="str">
        <f t="shared" si="3"/>
        <v/>
      </c>
      <c r="AX17" s="31" t="str">
        <f t="shared" si="3"/>
        <v/>
      </c>
      <c r="AY17" s="31" t="str">
        <f t="shared" si="3"/>
        <v/>
      </c>
      <c r="AZ17" s="31" t="str">
        <f t="shared" si="4"/>
        <v/>
      </c>
      <c r="BA17" s="31" t="str">
        <f t="shared" si="4"/>
        <v/>
      </c>
      <c r="BB17" s="31" t="str">
        <f t="shared" si="4"/>
        <v/>
      </c>
      <c r="BC17" s="31" t="str">
        <f t="shared" si="4"/>
        <v/>
      </c>
    </row>
    <row r="18" spans="1:55">
      <c r="A18" s="28" t="s">
        <v>223</v>
      </c>
      <c r="B18" s="28" t="s">
        <v>224</v>
      </c>
      <c r="C18" s="30">
        <v>43881</v>
      </c>
      <c r="D18" s="31" t="str">
        <f t="shared" si="1"/>
        <v/>
      </c>
      <c r="E18" s="31" t="str">
        <f t="shared" si="1"/>
        <v/>
      </c>
      <c r="F18" s="31" t="str">
        <f t="shared" si="1"/>
        <v/>
      </c>
      <c r="G18" s="31" t="str">
        <f t="shared" si="1"/>
        <v/>
      </c>
      <c r="H18" s="31" t="str">
        <f t="shared" si="1"/>
        <v/>
      </c>
      <c r="I18" s="31" t="str">
        <f t="shared" si="1"/>
        <v/>
      </c>
      <c r="J18" s="31" t="str">
        <f t="shared" si="1"/>
        <v/>
      </c>
      <c r="K18" s="31" t="str">
        <f t="shared" si="1"/>
        <v>X</v>
      </c>
      <c r="L18" s="31" t="str">
        <f t="shared" si="1"/>
        <v/>
      </c>
      <c r="M18" s="31" t="str">
        <f t="shared" si="1"/>
        <v/>
      </c>
      <c r="N18" s="31" t="str">
        <f t="shared" si="1"/>
        <v/>
      </c>
      <c r="O18" s="31" t="str">
        <f t="shared" si="1"/>
        <v/>
      </c>
      <c r="P18" s="31" t="str">
        <f t="shared" si="1"/>
        <v/>
      </c>
      <c r="Q18" s="31" t="str">
        <f t="shared" si="1"/>
        <v/>
      </c>
      <c r="R18" s="31" t="str">
        <f t="shared" si="1"/>
        <v/>
      </c>
      <c r="S18" s="31" t="str">
        <f t="shared" si="1"/>
        <v/>
      </c>
      <c r="T18" s="31" t="str">
        <f t="shared" si="2"/>
        <v/>
      </c>
      <c r="U18" s="31" t="str">
        <f t="shared" si="2"/>
        <v/>
      </c>
      <c r="V18" s="31" t="str">
        <f t="shared" si="2"/>
        <v/>
      </c>
      <c r="W18" s="31" t="str">
        <f t="shared" si="2"/>
        <v/>
      </c>
      <c r="X18" s="31" t="str">
        <f t="shared" si="2"/>
        <v/>
      </c>
      <c r="Y18" s="31" t="str">
        <f t="shared" si="2"/>
        <v/>
      </c>
      <c r="Z18" s="31" t="str">
        <f t="shared" si="2"/>
        <v/>
      </c>
      <c r="AA18" s="31" t="str">
        <f t="shared" si="2"/>
        <v/>
      </c>
      <c r="AB18" s="31" t="str">
        <f t="shared" si="2"/>
        <v/>
      </c>
      <c r="AC18" s="31" t="str">
        <f t="shared" si="2"/>
        <v/>
      </c>
      <c r="AD18" s="31" t="str">
        <f t="shared" si="2"/>
        <v/>
      </c>
      <c r="AE18" s="31" t="str">
        <f t="shared" si="2"/>
        <v/>
      </c>
      <c r="AF18" s="31" t="str">
        <f t="shared" si="2"/>
        <v/>
      </c>
      <c r="AG18" s="31" t="str">
        <f t="shared" si="2"/>
        <v/>
      </c>
      <c r="AH18" s="31" t="str">
        <f t="shared" si="2"/>
        <v/>
      </c>
      <c r="AI18" s="31" t="str">
        <f t="shared" si="2"/>
        <v/>
      </c>
      <c r="AJ18" s="31" t="str">
        <f t="shared" si="3"/>
        <v/>
      </c>
      <c r="AK18" s="31" t="str">
        <f t="shared" si="3"/>
        <v/>
      </c>
      <c r="AL18" s="31" t="str">
        <f t="shared" si="3"/>
        <v/>
      </c>
      <c r="AM18" s="31" t="str">
        <f t="shared" si="3"/>
        <v/>
      </c>
      <c r="AN18" s="31" t="str">
        <f t="shared" si="3"/>
        <v/>
      </c>
      <c r="AO18" s="31" t="str">
        <f t="shared" si="3"/>
        <v/>
      </c>
      <c r="AP18" s="31" t="str">
        <f t="shared" si="3"/>
        <v/>
      </c>
      <c r="AQ18" s="31" t="str">
        <f t="shared" si="3"/>
        <v/>
      </c>
      <c r="AR18" s="31" t="str">
        <f t="shared" si="3"/>
        <v/>
      </c>
      <c r="AS18" s="31" t="str">
        <f t="shared" si="3"/>
        <v/>
      </c>
      <c r="AT18" s="31" t="str">
        <f t="shared" si="3"/>
        <v/>
      </c>
      <c r="AU18" s="31" t="str">
        <f t="shared" si="3"/>
        <v/>
      </c>
      <c r="AV18" s="31" t="str">
        <f t="shared" si="3"/>
        <v/>
      </c>
      <c r="AW18" s="31" t="str">
        <f t="shared" si="3"/>
        <v/>
      </c>
      <c r="AX18" s="31" t="str">
        <f t="shared" si="3"/>
        <v/>
      </c>
      <c r="AY18" s="31" t="str">
        <f t="shared" si="3"/>
        <v/>
      </c>
      <c r="AZ18" s="31" t="str">
        <f t="shared" si="4"/>
        <v/>
      </c>
      <c r="BA18" s="31" t="str">
        <f t="shared" si="4"/>
        <v/>
      </c>
      <c r="BB18" s="31" t="str">
        <f t="shared" si="4"/>
        <v/>
      </c>
      <c r="BC18" s="31" t="str">
        <f t="shared" si="4"/>
        <v/>
      </c>
    </row>
    <row r="19" spans="1:55">
      <c r="A19" s="28" t="s">
        <v>225</v>
      </c>
      <c r="B19" s="28" t="s">
        <v>226</v>
      </c>
      <c r="C19" s="30">
        <v>43982</v>
      </c>
      <c r="D19" s="31" t="str">
        <f t="shared" si="1"/>
        <v/>
      </c>
      <c r="E19" s="31" t="str">
        <f t="shared" si="1"/>
        <v/>
      </c>
      <c r="F19" s="31" t="str">
        <f t="shared" si="1"/>
        <v/>
      </c>
      <c r="G19" s="31" t="str">
        <f t="shared" si="1"/>
        <v/>
      </c>
      <c r="H19" s="31" t="str">
        <f t="shared" si="1"/>
        <v/>
      </c>
      <c r="I19" s="31" t="str">
        <f t="shared" si="1"/>
        <v/>
      </c>
      <c r="J19" s="31" t="str">
        <f t="shared" si="1"/>
        <v/>
      </c>
      <c r="K19" s="31" t="str">
        <f t="shared" si="1"/>
        <v/>
      </c>
      <c r="L19" s="31" t="str">
        <f t="shared" si="1"/>
        <v/>
      </c>
      <c r="M19" s="31" t="str">
        <f t="shared" si="1"/>
        <v/>
      </c>
      <c r="N19" s="31" t="str">
        <f t="shared" si="1"/>
        <v/>
      </c>
      <c r="O19" s="31" t="str">
        <f t="shared" si="1"/>
        <v/>
      </c>
      <c r="P19" s="31" t="str">
        <f t="shared" si="1"/>
        <v/>
      </c>
      <c r="Q19" s="31" t="str">
        <f t="shared" si="1"/>
        <v/>
      </c>
      <c r="R19" s="31" t="str">
        <f t="shared" si="1"/>
        <v/>
      </c>
      <c r="S19" s="31" t="str">
        <f t="shared" si="1"/>
        <v/>
      </c>
      <c r="T19" s="31" t="str">
        <f t="shared" si="2"/>
        <v/>
      </c>
      <c r="U19" s="31" t="str">
        <f t="shared" si="2"/>
        <v/>
      </c>
      <c r="V19" s="31" t="str">
        <f t="shared" si="2"/>
        <v/>
      </c>
      <c r="W19" s="31" t="str">
        <f t="shared" si="2"/>
        <v/>
      </c>
      <c r="X19" s="31" t="str">
        <f t="shared" si="2"/>
        <v/>
      </c>
      <c r="Y19" s="31" t="str">
        <f t="shared" si="2"/>
        <v/>
      </c>
      <c r="Z19" s="31" t="str">
        <f t="shared" si="2"/>
        <v>X</v>
      </c>
      <c r="AA19" s="31" t="str">
        <f t="shared" si="2"/>
        <v/>
      </c>
      <c r="AB19" s="31" t="str">
        <f t="shared" si="2"/>
        <v/>
      </c>
      <c r="AC19" s="31" t="str">
        <f t="shared" si="2"/>
        <v/>
      </c>
      <c r="AD19" s="31" t="str">
        <f t="shared" si="2"/>
        <v/>
      </c>
      <c r="AE19" s="31" t="str">
        <f t="shared" si="2"/>
        <v/>
      </c>
      <c r="AF19" s="31" t="str">
        <f t="shared" si="2"/>
        <v/>
      </c>
      <c r="AG19" s="31" t="str">
        <f t="shared" si="2"/>
        <v/>
      </c>
      <c r="AH19" s="31" t="str">
        <f t="shared" si="2"/>
        <v/>
      </c>
      <c r="AI19" s="31" t="str">
        <f t="shared" si="2"/>
        <v/>
      </c>
      <c r="AJ19" s="31" t="str">
        <f t="shared" si="3"/>
        <v/>
      </c>
      <c r="AK19" s="31" t="str">
        <f t="shared" si="3"/>
        <v/>
      </c>
      <c r="AL19" s="31" t="str">
        <f t="shared" si="3"/>
        <v/>
      </c>
      <c r="AM19" s="31" t="str">
        <f t="shared" si="3"/>
        <v/>
      </c>
      <c r="AN19" s="31" t="str">
        <f t="shared" si="3"/>
        <v/>
      </c>
      <c r="AO19" s="31" t="str">
        <f t="shared" si="3"/>
        <v/>
      </c>
      <c r="AP19" s="31" t="str">
        <f t="shared" si="3"/>
        <v/>
      </c>
      <c r="AQ19" s="31" t="str">
        <f t="shared" si="3"/>
        <v/>
      </c>
      <c r="AR19" s="31" t="str">
        <f t="shared" si="3"/>
        <v/>
      </c>
      <c r="AS19" s="31" t="str">
        <f t="shared" si="3"/>
        <v/>
      </c>
      <c r="AT19" s="31" t="str">
        <f t="shared" si="3"/>
        <v/>
      </c>
      <c r="AU19" s="31" t="str">
        <f t="shared" si="3"/>
        <v/>
      </c>
      <c r="AV19" s="31" t="str">
        <f t="shared" si="3"/>
        <v/>
      </c>
      <c r="AW19" s="31" t="str">
        <f t="shared" si="3"/>
        <v/>
      </c>
      <c r="AX19" s="31" t="str">
        <f t="shared" si="3"/>
        <v/>
      </c>
      <c r="AY19" s="31" t="str">
        <f t="shared" si="3"/>
        <v/>
      </c>
      <c r="AZ19" s="31" t="str">
        <f t="shared" si="4"/>
        <v/>
      </c>
      <c r="BA19" s="31" t="str">
        <f t="shared" si="4"/>
        <v/>
      </c>
      <c r="BB19" s="31" t="str">
        <f t="shared" si="4"/>
        <v/>
      </c>
      <c r="BC19" s="31" t="str">
        <f t="shared" si="4"/>
        <v/>
      </c>
    </row>
    <row r="20" spans="1:55">
      <c r="A20" s="28" t="s">
        <v>227</v>
      </c>
      <c r="B20" s="28" t="s">
        <v>228</v>
      </c>
      <c r="C20" s="30">
        <v>43954</v>
      </c>
      <c r="D20" s="31" t="str">
        <f t="shared" si="1"/>
        <v/>
      </c>
      <c r="E20" s="31" t="str">
        <f t="shared" si="1"/>
        <v/>
      </c>
      <c r="F20" s="31" t="str">
        <f t="shared" si="1"/>
        <v/>
      </c>
      <c r="G20" s="31" t="str">
        <f t="shared" si="1"/>
        <v/>
      </c>
      <c r="H20" s="31" t="str">
        <f t="shared" si="1"/>
        <v/>
      </c>
      <c r="I20" s="31" t="str">
        <f t="shared" si="1"/>
        <v/>
      </c>
      <c r="J20" s="31" t="str">
        <f t="shared" si="1"/>
        <v/>
      </c>
      <c r="K20" s="31" t="str">
        <f t="shared" si="1"/>
        <v/>
      </c>
      <c r="L20" s="31" t="str">
        <f t="shared" si="1"/>
        <v/>
      </c>
      <c r="M20" s="31" t="str">
        <f t="shared" si="1"/>
        <v/>
      </c>
      <c r="N20" s="31" t="str">
        <f t="shared" si="1"/>
        <v/>
      </c>
      <c r="O20" s="31" t="str">
        <f t="shared" si="1"/>
        <v/>
      </c>
      <c r="P20" s="31" t="str">
        <f t="shared" si="1"/>
        <v/>
      </c>
      <c r="Q20" s="31" t="str">
        <f t="shared" si="1"/>
        <v/>
      </c>
      <c r="R20" s="31" t="str">
        <f t="shared" si="1"/>
        <v/>
      </c>
      <c r="S20" s="31" t="str">
        <f t="shared" si="1"/>
        <v/>
      </c>
      <c r="T20" s="31" t="str">
        <f t="shared" si="2"/>
        <v/>
      </c>
      <c r="U20" s="31" t="str">
        <f t="shared" si="2"/>
        <v/>
      </c>
      <c r="V20" s="31" t="str">
        <f t="shared" si="2"/>
        <v>X</v>
      </c>
      <c r="W20" s="31" t="str">
        <f t="shared" si="2"/>
        <v/>
      </c>
      <c r="X20" s="31" t="str">
        <f t="shared" si="2"/>
        <v/>
      </c>
      <c r="Y20" s="31" t="str">
        <f t="shared" si="2"/>
        <v/>
      </c>
      <c r="Z20" s="31" t="str">
        <f t="shared" si="2"/>
        <v/>
      </c>
      <c r="AA20" s="31" t="str">
        <f t="shared" si="2"/>
        <v/>
      </c>
      <c r="AB20" s="31" t="str">
        <f t="shared" si="2"/>
        <v/>
      </c>
      <c r="AC20" s="31" t="str">
        <f t="shared" si="2"/>
        <v/>
      </c>
      <c r="AD20" s="31" t="str">
        <f t="shared" si="2"/>
        <v/>
      </c>
      <c r="AE20" s="31" t="str">
        <f t="shared" si="2"/>
        <v/>
      </c>
      <c r="AF20" s="31" t="str">
        <f t="shared" si="2"/>
        <v/>
      </c>
      <c r="AG20" s="31" t="str">
        <f t="shared" si="2"/>
        <v/>
      </c>
      <c r="AH20" s="31" t="str">
        <f t="shared" si="2"/>
        <v/>
      </c>
      <c r="AI20" s="31" t="str">
        <f t="shared" si="2"/>
        <v/>
      </c>
      <c r="AJ20" s="31" t="str">
        <f t="shared" si="3"/>
        <v/>
      </c>
      <c r="AK20" s="31" t="str">
        <f t="shared" si="3"/>
        <v/>
      </c>
      <c r="AL20" s="31" t="str">
        <f t="shared" si="3"/>
        <v/>
      </c>
      <c r="AM20" s="31" t="str">
        <f t="shared" si="3"/>
        <v/>
      </c>
      <c r="AN20" s="31" t="str">
        <f t="shared" si="3"/>
        <v/>
      </c>
      <c r="AO20" s="31" t="str">
        <f t="shared" si="3"/>
        <v/>
      </c>
      <c r="AP20" s="31" t="str">
        <f t="shared" si="3"/>
        <v/>
      </c>
      <c r="AQ20" s="31" t="str">
        <f t="shared" si="3"/>
        <v/>
      </c>
      <c r="AR20" s="31" t="str">
        <f t="shared" si="3"/>
        <v/>
      </c>
      <c r="AS20" s="31" t="str">
        <f t="shared" si="3"/>
        <v/>
      </c>
      <c r="AT20" s="31" t="str">
        <f t="shared" si="3"/>
        <v/>
      </c>
      <c r="AU20" s="31" t="str">
        <f t="shared" si="3"/>
        <v/>
      </c>
      <c r="AV20" s="31" t="str">
        <f t="shared" si="3"/>
        <v/>
      </c>
      <c r="AW20" s="31" t="str">
        <f t="shared" si="3"/>
        <v/>
      </c>
      <c r="AX20" s="31" t="str">
        <f t="shared" si="3"/>
        <v/>
      </c>
      <c r="AY20" s="31" t="str">
        <f t="shared" si="3"/>
        <v/>
      </c>
      <c r="AZ20" s="31" t="str">
        <f t="shared" si="4"/>
        <v/>
      </c>
      <c r="BA20" s="31" t="str">
        <f t="shared" si="4"/>
        <v/>
      </c>
      <c r="BB20" s="31" t="str">
        <f t="shared" si="4"/>
        <v/>
      </c>
      <c r="BC20" s="31" t="str">
        <f t="shared" si="4"/>
        <v/>
      </c>
    </row>
    <row r="21" spans="1:55">
      <c r="A21" s="28" t="s">
        <v>229</v>
      </c>
      <c r="B21" s="28" t="s">
        <v>230</v>
      </c>
      <c r="C21" s="30">
        <v>43926</v>
      </c>
      <c r="D21" s="31" t="str">
        <f t="shared" si="1"/>
        <v/>
      </c>
      <c r="E21" s="31" t="str">
        <f t="shared" si="1"/>
        <v/>
      </c>
      <c r="F21" s="31" t="str">
        <f t="shared" si="1"/>
        <v/>
      </c>
      <c r="G21" s="31" t="str">
        <f t="shared" si="1"/>
        <v/>
      </c>
      <c r="H21" s="31" t="str">
        <f t="shared" si="1"/>
        <v/>
      </c>
      <c r="I21" s="31" t="str">
        <f t="shared" si="1"/>
        <v/>
      </c>
      <c r="J21" s="31" t="str">
        <f t="shared" si="1"/>
        <v/>
      </c>
      <c r="K21" s="31" t="str">
        <f t="shared" si="1"/>
        <v/>
      </c>
      <c r="L21" s="31" t="str">
        <f t="shared" si="1"/>
        <v/>
      </c>
      <c r="M21" s="31" t="str">
        <f t="shared" si="1"/>
        <v/>
      </c>
      <c r="N21" s="31" t="str">
        <f t="shared" si="1"/>
        <v/>
      </c>
      <c r="O21" s="31" t="str">
        <f t="shared" si="1"/>
        <v/>
      </c>
      <c r="P21" s="31" t="str">
        <f t="shared" si="1"/>
        <v/>
      </c>
      <c r="Q21" s="31" t="str">
        <f t="shared" si="1"/>
        <v/>
      </c>
      <c r="R21" s="31" t="str">
        <f t="shared" si="1"/>
        <v>X</v>
      </c>
      <c r="S21" s="31" t="str">
        <f t="shared" si="1"/>
        <v/>
      </c>
      <c r="T21" s="31" t="str">
        <f t="shared" si="2"/>
        <v/>
      </c>
      <c r="U21" s="31" t="str">
        <f t="shared" si="2"/>
        <v/>
      </c>
      <c r="V21" s="31" t="str">
        <f t="shared" si="2"/>
        <v/>
      </c>
      <c r="W21" s="31" t="str">
        <f t="shared" si="2"/>
        <v/>
      </c>
      <c r="X21" s="31" t="str">
        <f t="shared" si="2"/>
        <v/>
      </c>
      <c r="Y21" s="31" t="str">
        <f t="shared" si="2"/>
        <v/>
      </c>
      <c r="Z21" s="31" t="str">
        <f t="shared" si="2"/>
        <v/>
      </c>
      <c r="AA21" s="31" t="str">
        <f t="shared" si="2"/>
        <v/>
      </c>
      <c r="AB21" s="31" t="str">
        <f t="shared" si="2"/>
        <v/>
      </c>
      <c r="AC21" s="31" t="str">
        <f t="shared" si="2"/>
        <v/>
      </c>
      <c r="AD21" s="31" t="str">
        <f t="shared" si="2"/>
        <v/>
      </c>
      <c r="AE21" s="31" t="str">
        <f t="shared" si="2"/>
        <v/>
      </c>
      <c r="AF21" s="31" t="str">
        <f t="shared" si="2"/>
        <v/>
      </c>
      <c r="AG21" s="31" t="str">
        <f t="shared" si="2"/>
        <v/>
      </c>
      <c r="AH21" s="31" t="str">
        <f t="shared" si="2"/>
        <v/>
      </c>
      <c r="AI21" s="31" t="str">
        <f t="shared" si="2"/>
        <v/>
      </c>
      <c r="AJ21" s="31" t="str">
        <f t="shared" si="3"/>
        <v/>
      </c>
      <c r="AK21" s="31" t="str">
        <f t="shared" si="3"/>
        <v/>
      </c>
      <c r="AL21" s="31" t="str">
        <f t="shared" si="3"/>
        <v/>
      </c>
      <c r="AM21" s="31" t="str">
        <f t="shared" si="3"/>
        <v/>
      </c>
      <c r="AN21" s="31" t="str">
        <f t="shared" si="3"/>
        <v/>
      </c>
      <c r="AO21" s="31" t="str">
        <f t="shared" si="3"/>
        <v/>
      </c>
      <c r="AP21" s="31" t="str">
        <f t="shared" si="3"/>
        <v/>
      </c>
      <c r="AQ21" s="31" t="str">
        <f t="shared" si="3"/>
        <v/>
      </c>
      <c r="AR21" s="31" t="str">
        <f t="shared" si="3"/>
        <v/>
      </c>
      <c r="AS21" s="31" t="str">
        <f t="shared" si="3"/>
        <v/>
      </c>
      <c r="AT21" s="31" t="str">
        <f t="shared" si="3"/>
        <v/>
      </c>
      <c r="AU21" s="31" t="str">
        <f t="shared" si="3"/>
        <v/>
      </c>
      <c r="AV21" s="31" t="str">
        <f t="shared" si="3"/>
        <v/>
      </c>
      <c r="AW21" s="31" t="str">
        <f t="shared" si="3"/>
        <v/>
      </c>
      <c r="AX21" s="31" t="str">
        <f t="shared" si="3"/>
        <v/>
      </c>
      <c r="AY21" s="31" t="str">
        <f t="shared" si="3"/>
        <v/>
      </c>
      <c r="AZ21" s="31" t="str">
        <f t="shared" si="4"/>
        <v/>
      </c>
      <c r="BA21" s="31" t="str">
        <f t="shared" si="4"/>
        <v/>
      </c>
      <c r="BB21" s="31" t="str">
        <f t="shared" si="4"/>
        <v/>
      </c>
      <c r="BC21" s="31" t="str">
        <f t="shared" si="4"/>
        <v/>
      </c>
    </row>
    <row r="22" spans="1:55">
      <c r="A22" s="28" t="s">
        <v>231</v>
      </c>
      <c r="B22" s="28" t="s">
        <v>199</v>
      </c>
      <c r="C22" s="30">
        <v>43929</v>
      </c>
      <c r="D22" s="31" t="str">
        <f t="shared" si="1"/>
        <v/>
      </c>
      <c r="E22" s="31" t="str">
        <f t="shared" si="1"/>
        <v/>
      </c>
      <c r="F22" s="31" t="str">
        <f t="shared" si="1"/>
        <v/>
      </c>
      <c r="G22" s="31" t="str">
        <f t="shared" si="1"/>
        <v/>
      </c>
      <c r="H22" s="31" t="str">
        <f t="shared" si="1"/>
        <v/>
      </c>
      <c r="I22" s="31" t="str">
        <f t="shared" si="1"/>
        <v/>
      </c>
      <c r="J22" s="31" t="str">
        <f t="shared" si="1"/>
        <v/>
      </c>
      <c r="K22" s="31" t="str">
        <f t="shared" si="1"/>
        <v/>
      </c>
      <c r="L22" s="31" t="str">
        <f t="shared" si="1"/>
        <v/>
      </c>
      <c r="M22" s="31" t="str">
        <f t="shared" si="1"/>
        <v/>
      </c>
      <c r="N22" s="31" t="str">
        <f t="shared" si="1"/>
        <v/>
      </c>
      <c r="O22" s="31" t="str">
        <f t="shared" si="1"/>
        <v/>
      </c>
      <c r="P22" s="31" t="str">
        <f t="shared" si="1"/>
        <v/>
      </c>
      <c r="Q22" s="31" t="str">
        <f t="shared" si="1"/>
        <v/>
      </c>
      <c r="R22" s="31" t="str">
        <f t="shared" si="1"/>
        <v>X</v>
      </c>
      <c r="S22" s="31" t="str">
        <f t="shared" si="1"/>
        <v/>
      </c>
      <c r="T22" s="31" t="str">
        <f t="shared" si="2"/>
        <v/>
      </c>
      <c r="U22" s="31" t="str">
        <f t="shared" si="2"/>
        <v/>
      </c>
      <c r="V22" s="31" t="str">
        <f t="shared" si="2"/>
        <v/>
      </c>
      <c r="W22" s="31" t="str">
        <f t="shared" si="2"/>
        <v/>
      </c>
      <c r="X22" s="31" t="str">
        <f t="shared" si="2"/>
        <v/>
      </c>
      <c r="Y22" s="31" t="str">
        <f t="shared" si="2"/>
        <v/>
      </c>
      <c r="Z22" s="31" t="str">
        <f t="shared" si="2"/>
        <v/>
      </c>
      <c r="AA22" s="31" t="str">
        <f t="shared" si="2"/>
        <v/>
      </c>
      <c r="AB22" s="31" t="str">
        <f t="shared" si="2"/>
        <v/>
      </c>
      <c r="AC22" s="31" t="str">
        <f t="shared" si="2"/>
        <v/>
      </c>
      <c r="AD22" s="31" t="str">
        <f t="shared" si="2"/>
        <v/>
      </c>
      <c r="AE22" s="31" t="str">
        <f t="shared" si="2"/>
        <v/>
      </c>
      <c r="AF22" s="31" t="str">
        <f t="shared" si="2"/>
        <v/>
      </c>
      <c r="AG22" s="31" t="str">
        <f t="shared" si="2"/>
        <v/>
      </c>
      <c r="AH22" s="31" t="str">
        <f t="shared" si="2"/>
        <v/>
      </c>
      <c r="AI22" s="31" t="str">
        <f t="shared" si="2"/>
        <v/>
      </c>
      <c r="AJ22" s="31" t="str">
        <f t="shared" si="3"/>
        <v/>
      </c>
      <c r="AK22" s="31" t="str">
        <f t="shared" si="3"/>
        <v/>
      </c>
      <c r="AL22" s="31" t="str">
        <f t="shared" si="3"/>
        <v/>
      </c>
      <c r="AM22" s="31" t="str">
        <f t="shared" si="3"/>
        <v/>
      </c>
      <c r="AN22" s="31" t="str">
        <f t="shared" si="3"/>
        <v/>
      </c>
      <c r="AO22" s="31" t="str">
        <f t="shared" si="3"/>
        <v/>
      </c>
      <c r="AP22" s="31" t="str">
        <f t="shared" si="3"/>
        <v/>
      </c>
      <c r="AQ22" s="31" t="str">
        <f t="shared" si="3"/>
        <v/>
      </c>
      <c r="AR22" s="31" t="str">
        <f t="shared" si="3"/>
        <v/>
      </c>
      <c r="AS22" s="31" t="str">
        <f t="shared" si="3"/>
        <v/>
      </c>
      <c r="AT22" s="31" t="str">
        <f t="shared" si="3"/>
        <v/>
      </c>
      <c r="AU22" s="31" t="str">
        <f t="shared" si="3"/>
        <v/>
      </c>
      <c r="AV22" s="31" t="str">
        <f t="shared" si="3"/>
        <v/>
      </c>
      <c r="AW22" s="31" t="str">
        <f t="shared" si="3"/>
        <v/>
      </c>
      <c r="AX22" s="31" t="str">
        <f t="shared" si="3"/>
        <v/>
      </c>
      <c r="AY22" s="31" t="str">
        <f t="shared" si="3"/>
        <v/>
      </c>
      <c r="AZ22" s="31" t="str">
        <f t="shared" si="4"/>
        <v/>
      </c>
      <c r="BA22" s="31" t="str">
        <f t="shared" si="4"/>
        <v/>
      </c>
      <c r="BB22" s="31" t="str">
        <f t="shared" si="4"/>
        <v/>
      </c>
      <c r="BC22" s="31" t="str">
        <f t="shared" si="4"/>
        <v/>
      </c>
    </row>
    <row r="23" spans="1:55">
      <c r="A23" s="28" t="s">
        <v>232</v>
      </c>
      <c r="B23" s="28" t="s">
        <v>233</v>
      </c>
      <c r="C23" s="30">
        <v>43945</v>
      </c>
      <c r="D23" s="31" t="str">
        <f t="shared" si="1"/>
        <v/>
      </c>
      <c r="E23" s="31" t="str">
        <f t="shared" si="1"/>
        <v/>
      </c>
      <c r="F23" s="31" t="str">
        <f t="shared" si="1"/>
        <v/>
      </c>
      <c r="G23" s="31" t="str">
        <f t="shared" si="1"/>
        <v/>
      </c>
      <c r="H23" s="31" t="str">
        <f t="shared" si="1"/>
        <v/>
      </c>
      <c r="I23" s="31" t="str">
        <f t="shared" si="1"/>
        <v/>
      </c>
      <c r="J23" s="31" t="str">
        <f t="shared" si="1"/>
        <v/>
      </c>
      <c r="K23" s="31" t="str">
        <f t="shared" si="1"/>
        <v/>
      </c>
      <c r="L23" s="31" t="str">
        <f t="shared" si="1"/>
        <v/>
      </c>
      <c r="M23" s="31" t="str">
        <f t="shared" si="1"/>
        <v/>
      </c>
      <c r="N23" s="31" t="str">
        <f t="shared" si="1"/>
        <v/>
      </c>
      <c r="O23" s="31" t="str">
        <f t="shared" ref="O23:AD33" si="5">IF(WEEKNUM($C23)=O$1,"X","")</f>
        <v/>
      </c>
      <c r="P23" s="31" t="str">
        <f t="shared" si="5"/>
        <v/>
      </c>
      <c r="Q23" s="31" t="str">
        <f t="shared" si="5"/>
        <v/>
      </c>
      <c r="R23" s="31" t="str">
        <f t="shared" si="5"/>
        <v/>
      </c>
      <c r="S23" s="31" t="str">
        <f t="shared" si="5"/>
        <v/>
      </c>
      <c r="T23" s="31" t="str">
        <f t="shared" si="5"/>
        <v>X</v>
      </c>
      <c r="U23" s="31" t="str">
        <f t="shared" si="5"/>
        <v/>
      </c>
      <c r="V23" s="31" t="str">
        <f t="shared" si="5"/>
        <v/>
      </c>
      <c r="W23" s="31" t="str">
        <f t="shared" si="5"/>
        <v/>
      </c>
      <c r="X23" s="31" t="str">
        <f t="shared" si="5"/>
        <v/>
      </c>
      <c r="Y23" s="31" t="str">
        <f t="shared" si="5"/>
        <v/>
      </c>
      <c r="Z23" s="31" t="str">
        <f t="shared" si="5"/>
        <v/>
      </c>
      <c r="AA23" s="31" t="str">
        <f t="shared" si="5"/>
        <v/>
      </c>
      <c r="AB23" s="31" t="str">
        <f t="shared" si="5"/>
        <v/>
      </c>
      <c r="AC23" s="31" t="str">
        <f t="shared" si="5"/>
        <v/>
      </c>
      <c r="AD23" s="31" t="str">
        <f t="shared" si="5"/>
        <v/>
      </c>
      <c r="AE23" s="31" t="str">
        <f t="shared" si="2"/>
        <v/>
      </c>
      <c r="AF23" s="31" t="str">
        <f t="shared" si="2"/>
        <v/>
      </c>
      <c r="AG23" s="31" t="str">
        <f t="shared" si="2"/>
        <v/>
      </c>
      <c r="AH23" s="31" t="str">
        <f t="shared" si="2"/>
        <v/>
      </c>
      <c r="AI23" s="31" t="str">
        <f t="shared" si="2"/>
        <v/>
      </c>
      <c r="AJ23" s="31" t="str">
        <f t="shared" si="3"/>
        <v/>
      </c>
      <c r="AK23" s="31" t="str">
        <f t="shared" si="3"/>
        <v/>
      </c>
      <c r="AL23" s="31" t="str">
        <f t="shared" si="3"/>
        <v/>
      </c>
      <c r="AM23" s="31" t="str">
        <f t="shared" si="3"/>
        <v/>
      </c>
      <c r="AN23" s="31" t="str">
        <f t="shared" si="3"/>
        <v/>
      </c>
      <c r="AO23" s="31" t="str">
        <f t="shared" si="3"/>
        <v/>
      </c>
      <c r="AP23" s="31" t="str">
        <f t="shared" si="3"/>
        <v/>
      </c>
      <c r="AQ23" s="31" t="str">
        <f t="shared" si="3"/>
        <v/>
      </c>
      <c r="AR23" s="31" t="str">
        <f t="shared" si="3"/>
        <v/>
      </c>
      <c r="AS23" s="31" t="str">
        <f t="shared" si="3"/>
        <v/>
      </c>
      <c r="AT23" s="31" t="str">
        <f t="shared" si="3"/>
        <v/>
      </c>
      <c r="AU23" s="31" t="str">
        <f t="shared" si="3"/>
        <v/>
      </c>
      <c r="AV23" s="31" t="str">
        <f t="shared" si="3"/>
        <v/>
      </c>
      <c r="AW23" s="31" t="str">
        <f t="shared" si="3"/>
        <v/>
      </c>
      <c r="AX23" s="31" t="str">
        <f t="shared" si="3"/>
        <v/>
      </c>
      <c r="AY23" s="31" t="str">
        <f t="shared" ref="AY23:BC33" si="6">IF(WEEKNUM($C23)=AY$1,"X","")</f>
        <v/>
      </c>
      <c r="AZ23" s="31" t="str">
        <f t="shared" si="6"/>
        <v/>
      </c>
      <c r="BA23" s="31" t="str">
        <f t="shared" si="6"/>
        <v/>
      </c>
      <c r="BB23" s="31" t="str">
        <f t="shared" si="6"/>
        <v/>
      </c>
      <c r="BC23" s="31" t="str">
        <f t="shared" si="6"/>
        <v/>
      </c>
    </row>
    <row r="24" spans="1:55">
      <c r="A24" s="28" t="s">
        <v>232</v>
      </c>
      <c r="B24" s="28" t="s">
        <v>234</v>
      </c>
      <c r="C24" s="30">
        <v>43934</v>
      </c>
      <c r="D24" s="31" t="str">
        <f t="shared" ref="D24:S33" si="7">IF(WEEKNUM($C24)=D$1,"X","")</f>
        <v/>
      </c>
      <c r="E24" s="31" t="str">
        <f t="shared" si="7"/>
        <v/>
      </c>
      <c r="F24" s="31" t="str">
        <f t="shared" si="7"/>
        <v/>
      </c>
      <c r="G24" s="31" t="str">
        <f t="shared" si="7"/>
        <v/>
      </c>
      <c r="H24" s="31" t="str">
        <f t="shared" si="7"/>
        <v/>
      </c>
      <c r="I24" s="31" t="str">
        <f t="shared" si="7"/>
        <v/>
      </c>
      <c r="J24" s="31" t="str">
        <f t="shared" si="7"/>
        <v/>
      </c>
      <c r="K24" s="31" t="str">
        <f t="shared" si="7"/>
        <v/>
      </c>
      <c r="L24" s="31" t="str">
        <f t="shared" si="7"/>
        <v/>
      </c>
      <c r="M24" s="31" t="str">
        <f t="shared" si="7"/>
        <v/>
      </c>
      <c r="N24" s="31" t="str">
        <f t="shared" si="7"/>
        <v/>
      </c>
      <c r="O24" s="31" t="str">
        <f t="shared" si="7"/>
        <v/>
      </c>
      <c r="P24" s="31" t="str">
        <f t="shared" si="7"/>
        <v/>
      </c>
      <c r="Q24" s="31" t="str">
        <f t="shared" si="7"/>
        <v/>
      </c>
      <c r="R24" s="31" t="str">
        <f t="shared" si="7"/>
        <v/>
      </c>
      <c r="S24" s="31" t="str">
        <f t="shared" si="7"/>
        <v>X</v>
      </c>
      <c r="T24" s="31" t="str">
        <f t="shared" si="5"/>
        <v/>
      </c>
      <c r="U24" s="31" t="str">
        <f t="shared" si="5"/>
        <v/>
      </c>
      <c r="V24" s="31" t="str">
        <f t="shared" si="5"/>
        <v/>
      </c>
      <c r="W24" s="31" t="str">
        <f t="shared" si="5"/>
        <v/>
      </c>
      <c r="X24" s="31" t="str">
        <f t="shared" si="5"/>
        <v/>
      </c>
      <c r="Y24" s="31" t="str">
        <f t="shared" si="5"/>
        <v/>
      </c>
      <c r="Z24" s="31" t="str">
        <f t="shared" si="5"/>
        <v/>
      </c>
      <c r="AA24" s="31" t="str">
        <f t="shared" si="5"/>
        <v/>
      </c>
      <c r="AB24" s="31" t="str">
        <f t="shared" si="5"/>
        <v/>
      </c>
      <c r="AC24" s="31" t="str">
        <f t="shared" si="5"/>
        <v/>
      </c>
      <c r="AD24" s="31" t="str">
        <f t="shared" si="5"/>
        <v/>
      </c>
      <c r="AE24" s="31" t="str">
        <f t="shared" si="2"/>
        <v/>
      </c>
      <c r="AF24" s="31" t="str">
        <f t="shared" si="2"/>
        <v/>
      </c>
      <c r="AG24" s="31" t="str">
        <f t="shared" si="2"/>
        <v/>
      </c>
      <c r="AH24" s="31" t="str">
        <f t="shared" si="2"/>
        <v/>
      </c>
      <c r="AI24" s="31" t="str">
        <f t="shared" si="2"/>
        <v/>
      </c>
      <c r="AJ24" s="31" t="str">
        <f t="shared" ref="AJ24:AY33" si="8">IF(WEEKNUM($C24)=AJ$1,"X","")</f>
        <v/>
      </c>
      <c r="AK24" s="31" t="str">
        <f t="shared" si="8"/>
        <v/>
      </c>
      <c r="AL24" s="31" t="str">
        <f t="shared" si="8"/>
        <v/>
      </c>
      <c r="AM24" s="31" t="str">
        <f t="shared" si="8"/>
        <v/>
      </c>
      <c r="AN24" s="31" t="str">
        <f t="shared" si="8"/>
        <v/>
      </c>
      <c r="AO24" s="31" t="str">
        <f t="shared" si="8"/>
        <v/>
      </c>
      <c r="AP24" s="31" t="str">
        <f t="shared" si="8"/>
        <v/>
      </c>
      <c r="AQ24" s="31" t="str">
        <f t="shared" si="8"/>
        <v/>
      </c>
      <c r="AR24" s="31" t="str">
        <f t="shared" si="8"/>
        <v/>
      </c>
      <c r="AS24" s="31" t="str">
        <f t="shared" si="8"/>
        <v/>
      </c>
      <c r="AT24" s="31" t="str">
        <f t="shared" si="8"/>
        <v/>
      </c>
      <c r="AU24" s="31" t="str">
        <f t="shared" si="8"/>
        <v/>
      </c>
      <c r="AV24" s="31" t="str">
        <f t="shared" si="8"/>
        <v/>
      </c>
      <c r="AW24" s="31" t="str">
        <f t="shared" si="8"/>
        <v/>
      </c>
      <c r="AX24" s="31" t="str">
        <f t="shared" si="8"/>
        <v/>
      </c>
      <c r="AY24" s="31" t="str">
        <f t="shared" si="8"/>
        <v/>
      </c>
      <c r="AZ24" s="31" t="str">
        <f t="shared" si="6"/>
        <v/>
      </c>
      <c r="BA24" s="31" t="str">
        <f t="shared" si="6"/>
        <v/>
      </c>
      <c r="BB24" s="31" t="str">
        <f t="shared" si="6"/>
        <v/>
      </c>
      <c r="BC24" s="31" t="str">
        <f t="shared" si="6"/>
        <v/>
      </c>
    </row>
    <row r="25" spans="1:55">
      <c r="A25" s="28" t="s">
        <v>235</v>
      </c>
      <c r="B25" s="28" t="s">
        <v>236</v>
      </c>
      <c r="C25" s="30">
        <v>43888</v>
      </c>
      <c r="D25" s="31" t="str">
        <f t="shared" si="7"/>
        <v/>
      </c>
      <c r="E25" s="31" t="str">
        <f t="shared" si="7"/>
        <v/>
      </c>
      <c r="F25" s="31" t="str">
        <f t="shared" si="7"/>
        <v/>
      </c>
      <c r="G25" s="31" t="str">
        <f t="shared" si="7"/>
        <v/>
      </c>
      <c r="H25" s="31" t="str">
        <f t="shared" si="7"/>
        <v/>
      </c>
      <c r="I25" s="31" t="str">
        <f t="shared" si="7"/>
        <v/>
      </c>
      <c r="J25" s="31" t="str">
        <f t="shared" si="7"/>
        <v/>
      </c>
      <c r="K25" s="31" t="str">
        <f t="shared" si="7"/>
        <v/>
      </c>
      <c r="L25" s="31" t="str">
        <f t="shared" si="7"/>
        <v>X</v>
      </c>
      <c r="M25" s="31" t="str">
        <f t="shared" si="7"/>
        <v/>
      </c>
      <c r="N25" s="31" t="str">
        <f t="shared" si="7"/>
        <v/>
      </c>
      <c r="O25" s="31" t="str">
        <f t="shared" si="7"/>
        <v/>
      </c>
      <c r="P25" s="31" t="str">
        <f t="shared" si="7"/>
        <v/>
      </c>
      <c r="Q25" s="31" t="str">
        <f t="shared" si="7"/>
        <v/>
      </c>
      <c r="R25" s="31" t="str">
        <f t="shared" si="7"/>
        <v/>
      </c>
      <c r="S25" s="31" t="str">
        <f t="shared" si="7"/>
        <v/>
      </c>
      <c r="T25" s="31" t="str">
        <f t="shared" si="5"/>
        <v/>
      </c>
      <c r="U25" s="31" t="str">
        <f t="shared" si="5"/>
        <v/>
      </c>
      <c r="V25" s="31" t="str">
        <f t="shared" si="5"/>
        <v/>
      </c>
      <c r="W25" s="31" t="str">
        <f t="shared" si="5"/>
        <v/>
      </c>
      <c r="X25" s="31" t="str">
        <f t="shared" si="5"/>
        <v/>
      </c>
      <c r="Y25" s="31" t="str">
        <f t="shared" si="5"/>
        <v/>
      </c>
      <c r="Z25" s="31" t="str">
        <f t="shared" si="5"/>
        <v/>
      </c>
      <c r="AA25" s="31" t="str">
        <f t="shared" si="5"/>
        <v/>
      </c>
      <c r="AB25" s="31" t="str">
        <f t="shared" si="5"/>
        <v/>
      </c>
      <c r="AC25" s="31" t="str">
        <f t="shared" si="5"/>
        <v/>
      </c>
      <c r="AD25" s="31" t="str">
        <f t="shared" si="5"/>
        <v/>
      </c>
      <c r="AE25" s="31" t="str">
        <f t="shared" si="2"/>
        <v/>
      </c>
      <c r="AF25" s="31" t="str">
        <f t="shared" si="2"/>
        <v/>
      </c>
      <c r="AG25" s="31" t="str">
        <f t="shared" si="2"/>
        <v/>
      </c>
      <c r="AH25" s="31" t="str">
        <f t="shared" si="2"/>
        <v/>
      </c>
      <c r="AI25" s="31" t="str">
        <f t="shared" si="2"/>
        <v/>
      </c>
      <c r="AJ25" s="31" t="str">
        <f t="shared" si="8"/>
        <v/>
      </c>
      <c r="AK25" s="31" t="str">
        <f t="shared" si="8"/>
        <v/>
      </c>
      <c r="AL25" s="31" t="str">
        <f t="shared" si="8"/>
        <v/>
      </c>
      <c r="AM25" s="31" t="str">
        <f t="shared" si="8"/>
        <v/>
      </c>
      <c r="AN25" s="31" t="str">
        <f t="shared" si="8"/>
        <v/>
      </c>
      <c r="AO25" s="31" t="str">
        <f t="shared" si="8"/>
        <v/>
      </c>
      <c r="AP25" s="31" t="str">
        <f t="shared" si="8"/>
        <v/>
      </c>
      <c r="AQ25" s="31" t="str">
        <f t="shared" si="8"/>
        <v/>
      </c>
      <c r="AR25" s="31" t="str">
        <f t="shared" si="8"/>
        <v/>
      </c>
      <c r="AS25" s="31" t="str">
        <f t="shared" si="8"/>
        <v/>
      </c>
      <c r="AT25" s="31" t="str">
        <f t="shared" si="8"/>
        <v/>
      </c>
      <c r="AU25" s="31" t="str">
        <f t="shared" si="8"/>
        <v/>
      </c>
      <c r="AV25" s="31" t="str">
        <f t="shared" si="8"/>
        <v/>
      </c>
      <c r="AW25" s="31" t="str">
        <f t="shared" si="8"/>
        <v/>
      </c>
      <c r="AX25" s="31" t="str">
        <f t="shared" si="8"/>
        <v/>
      </c>
      <c r="AY25" s="31" t="str">
        <f t="shared" si="8"/>
        <v/>
      </c>
      <c r="AZ25" s="31" t="str">
        <f t="shared" si="6"/>
        <v/>
      </c>
      <c r="BA25" s="31" t="str">
        <f t="shared" si="6"/>
        <v/>
      </c>
      <c r="BB25" s="31" t="str">
        <f t="shared" si="6"/>
        <v/>
      </c>
      <c r="BC25" s="31" t="str">
        <f t="shared" si="6"/>
        <v/>
      </c>
    </row>
    <row r="26" spans="1:55">
      <c r="A26" s="28" t="s">
        <v>237</v>
      </c>
      <c r="B26" s="28" t="s">
        <v>238</v>
      </c>
      <c r="C26" s="30">
        <v>43956</v>
      </c>
      <c r="D26" s="31" t="str">
        <f t="shared" si="7"/>
        <v/>
      </c>
      <c r="E26" s="31" t="str">
        <f t="shared" si="7"/>
        <v/>
      </c>
      <c r="F26" s="31" t="str">
        <f t="shared" si="7"/>
        <v/>
      </c>
      <c r="G26" s="31" t="str">
        <f t="shared" si="7"/>
        <v/>
      </c>
      <c r="H26" s="31" t="str">
        <f t="shared" si="7"/>
        <v/>
      </c>
      <c r="I26" s="31" t="str">
        <f t="shared" si="7"/>
        <v/>
      </c>
      <c r="J26" s="31" t="str">
        <f t="shared" si="7"/>
        <v/>
      </c>
      <c r="K26" s="31" t="str">
        <f t="shared" si="7"/>
        <v/>
      </c>
      <c r="L26" s="31" t="str">
        <f t="shared" si="7"/>
        <v/>
      </c>
      <c r="M26" s="31" t="str">
        <f t="shared" si="7"/>
        <v/>
      </c>
      <c r="N26" s="31" t="str">
        <f t="shared" si="7"/>
        <v/>
      </c>
      <c r="O26" s="31" t="str">
        <f t="shared" si="7"/>
        <v/>
      </c>
      <c r="P26" s="31" t="str">
        <f t="shared" si="7"/>
        <v/>
      </c>
      <c r="Q26" s="31" t="str">
        <f t="shared" si="7"/>
        <v/>
      </c>
      <c r="R26" s="31" t="str">
        <f t="shared" si="7"/>
        <v/>
      </c>
      <c r="S26" s="31" t="str">
        <f t="shared" si="7"/>
        <v/>
      </c>
      <c r="T26" s="31" t="str">
        <f t="shared" si="5"/>
        <v/>
      </c>
      <c r="U26" s="31" t="str">
        <f t="shared" si="5"/>
        <v/>
      </c>
      <c r="V26" s="31" t="str">
        <f t="shared" si="5"/>
        <v>X</v>
      </c>
      <c r="W26" s="31" t="str">
        <f t="shared" si="5"/>
        <v/>
      </c>
      <c r="X26" s="31" t="str">
        <f t="shared" si="5"/>
        <v/>
      </c>
      <c r="Y26" s="31" t="str">
        <f t="shared" si="5"/>
        <v/>
      </c>
      <c r="Z26" s="31" t="str">
        <f t="shared" si="5"/>
        <v/>
      </c>
      <c r="AA26" s="31" t="str">
        <f t="shared" si="5"/>
        <v/>
      </c>
      <c r="AB26" s="31" t="str">
        <f t="shared" si="5"/>
        <v/>
      </c>
      <c r="AC26" s="31" t="str">
        <f t="shared" si="5"/>
        <v/>
      </c>
      <c r="AD26" s="31" t="str">
        <f t="shared" si="5"/>
        <v/>
      </c>
      <c r="AE26" s="31" t="str">
        <f t="shared" ref="AE26:AT33" si="9">IF(WEEKNUM($C26)=AE$1,"X","")</f>
        <v/>
      </c>
      <c r="AF26" s="31" t="str">
        <f t="shared" si="9"/>
        <v/>
      </c>
      <c r="AG26" s="31" t="str">
        <f t="shared" si="9"/>
        <v/>
      </c>
      <c r="AH26" s="31" t="str">
        <f t="shared" si="9"/>
        <v/>
      </c>
      <c r="AI26" s="31" t="str">
        <f t="shared" si="9"/>
        <v/>
      </c>
      <c r="AJ26" s="31" t="str">
        <f t="shared" si="9"/>
        <v/>
      </c>
      <c r="AK26" s="31" t="str">
        <f t="shared" si="9"/>
        <v/>
      </c>
      <c r="AL26" s="31" t="str">
        <f t="shared" si="9"/>
        <v/>
      </c>
      <c r="AM26" s="31" t="str">
        <f t="shared" si="9"/>
        <v/>
      </c>
      <c r="AN26" s="31" t="str">
        <f t="shared" si="9"/>
        <v/>
      </c>
      <c r="AO26" s="31" t="str">
        <f t="shared" si="9"/>
        <v/>
      </c>
      <c r="AP26" s="31" t="str">
        <f t="shared" si="9"/>
        <v/>
      </c>
      <c r="AQ26" s="31" t="str">
        <f t="shared" si="9"/>
        <v/>
      </c>
      <c r="AR26" s="31" t="str">
        <f t="shared" si="9"/>
        <v/>
      </c>
      <c r="AS26" s="31" t="str">
        <f t="shared" si="9"/>
        <v/>
      </c>
      <c r="AT26" s="31" t="str">
        <f t="shared" si="9"/>
        <v/>
      </c>
      <c r="AU26" s="31" t="str">
        <f t="shared" si="8"/>
        <v/>
      </c>
      <c r="AV26" s="31" t="str">
        <f t="shared" si="8"/>
        <v/>
      </c>
      <c r="AW26" s="31" t="str">
        <f t="shared" si="8"/>
        <v/>
      </c>
      <c r="AX26" s="31" t="str">
        <f t="shared" si="8"/>
        <v/>
      </c>
      <c r="AY26" s="31" t="str">
        <f t="shared" si="8"/>
        <v/>
      </c>
      <c r="AZ26" s="31" t="str">
        <f t="shared" si="6"/>
        <v/>
      </c>
      <c r="BA26" s="31" t="str">
        <f t="shared" si="6"/>
        <v/>
      </c>
      <c r="BB26" s="31" t="str">
        <f t="shared" si="6"/>
        <v/>
      </c>
      <c r="BC26" s="31" t="str">
        <f t="shared" si="6"/>
        <v/>
      </c>
    </row>
    <row r="27" spans="1:55">
      <c r="A27" s="28" t="s">
        <v>239</v>
      </c>
      <c r="B27" s="28" t="s">
        <v>240</v>
      </c>
      <c r="C27" s="30">
        <v>43921</v>
      </c>
      <c r="D27" s="31" t="str">
        <f t="shared" si="7"/>
        <v/>
      </c>
      <c r="E27" s="31" t="str">
        <f t="shared" si="7"/>
        <v/>
      </c>
      <c r="F27" s="31" t="str">
        <f t="shared" si="7"/>
        <v/>
      </c>
      <c r="G27" s="31" t="str">
        <f t="shared" si="7"/>
        <v/>
      </c>
      <c r="H27" s="31" t="str">
        <f t="shared" si="7"/>
        <v/>
      </c>
      <c r="I27" s="31" t="str">
        <f t="shared" si="7"/>
        <v/>
      </c>
      <c r="J27" s="31" t="str">
        <f t="shared" si="7"/>
        <v/>
      </c>
      <c r="K27" s="31" t="str">
        <f t="shared" si="7"/>
        <v/>
      </c>
      <c r="L27" s="31" t="str">
        <f t="shared" si="7"/>
        <v/>
      </c>
      <c r="M27" s="31" t="str">
        <f t="shared" si="7"/>
        <v/>
      </c>
      <c r="N27" s="31" t="str">
        <f t="shared" si="7"/>
        <v/>
      </c>
      <c r="O27" s="31" t="str">
        <f t="shared" si="7"/>
        <v/>
      </c>
      <c r="P27" s="31" t="str">
        <f t="shared" si="7"/>
        <v/>
      </c>
      <c r="Q27" s="31" t="str">
        <f t="shared" si="7"/>
        <v>X</v>
      </c>
      <c r="R27" s="31" t="str">
        <f t="shared" si="7"/>
        <v/>
      </c>
      <c r="S27" s="31" t="str">
        <f t="shared" si="7"/>
        <v/>
      </c>
      <c r="T27" s="31" t="str">
        <f t="shared" si="5"/>
        <v/>
      </c>
      <c r="U27" s="31" t="str">
        <f t="shared" si="5"/>
        <v/>
      </c>
      <c r="V27" s="31" t="str">
        <f t="shared" si="5"/>
        <v/>
      </c>
      <c r="W27" s="31" t="str">
        <f t="shared" si="5"/>
        <v/>
      </c>
      <c r="X27" s="31" t="str">
        <f t="shared" si="5"/>
        <v/>
      </c>
      <c r="Y27" s="31" t="str">
        <f t="shared" si="5"/>
        <v/>
      </c>
      <c r="Z27" s="31" t="str">
        <f t="shared" si="5"/>
        <v/>
      </c>
      <c r="AA27" s="31" t="str">
        <f t="shared" si="5"/>
        <v/>
      </c>
      <c r="AB27" s="31" t="str">
        <f t="shared" si="5"/>
        <v/>
      </c>
      <c r="AC27" s="31" t="str">
        <f t="shared" si="5"/>
        <v/>
      </c>
      <c r="AD27" s="31" t="str">
        <f t="shared" si="5"/>
        <v/>
      </c>
      <c r="AE27" s="31" t="str">
        <f t="shared" si="9"/>
        <v/>
      </c>
      <c r="AF27" s="31" t="str">
        <f t="shared" si="9"/>
        <v/>
      </c>
      <c r="AG27" s="31" t="str">
        <f t="shared" si="9"/>
        <v/>
      </c>
      <c r="AH27" s="31" t="str">
        <f t="shared" si="9"/>
        <v/>
      </c>
      <c r="AI27" s="31" t="str">
        <f t="shared" si="9"/>
        <v/>
      </c>
      <c r="AJ27" s="31" t="str">
        <f t="shared" si="9"/>
        <v/>
      </c>
      <c r="AK27" s="31" t="str">
        <f t="shared" si="9"/>
        <v/>
      </c>
      <c r="AL27" s="31" t="str">
        <f t="shared" si="9"/>
        <v/>
      </c>
      <c r="AM27" s="31" t="str">
        <f t="shared" si="9"/>
        <v/>
      </c>
      <c r="AN27" s="31" t="str">
        <f t="shared" si="9"/>
        <v/>
      </c>
      <c r="AO27" s="31" t="str">
        <f t="shared" si="9"/>
        <v/>
      </c>
      <c r="AP27" s="31" t="str">
        <f t="shared" si="9"/>
        <v/>
      </c>
      <c r="AQ27" s="31" t="str">
        <f t="shared" si="9"/>
        <v/>
      </c>
      <c r="AR27" s="31" t="str">
        <f t="shared" si="9"/>
        <v/>
      </c>
      <c r="AS27" s="31" t="str">
        <f t="shared" si="9"/>
        <v/>
      </c>
      <c r="AT27" s="31" t="str">
        <f t="shared" si="9"/>
        <v/>
      </c>
      <c r="AU27" s="31" t="str">
        <f t="shared" si="8"/>
        <v/>
      </c>
      <c r="AV27" s="31" t="str">
        <f t="shared" si="8"/>
        <v/>
      </c>
      <c r="AW27" s="31" t="str">
        <f t="shared" si="8"/>
        <v/>
      </c>
      <c r="AX27" s="31" t="str">
        <f t="shared" si="8"/>
        <v/>
      </c>
      <c r="AY27" s="31" t="str">
        <f t="shared" si="8"/>
        <v/>
      </c>
      <c r="AZ27" s="31" t="str">
        <f t="shared" si="6"/>
        <v/>
      </c>
      <c r="BA27" s="31" t="str">
        <f t="shared" si="6"/>
        <v/>
      </c>
      <c r="BB27" s="31" t="str">
        <f t="shared" si="6"/>
        <v/>
      </c>
      <c r="BC27" s="31" t="str">
        <f t="shared" si="6"/>
        <v/>
      </c>
    </row>
    <row r="28" spans="1:55">
      <c r="A28" s="28" t="s">
        <v>241</v>
      </c>
      <c r="B28" s="28" t="s">
        <v>242</v>
      </c>
      <c r="C28" s="30">
        <v>43933</v>
      </c>
      <c r="D28" s="31" t="str">
        <f t="shared" si="7"/>
        <v/>
      </c>
      <c r="E28" s="31" t="str">
        <f t="shared" si="7"/>
        <v/>
      </c>
      <c r="F28" s="31" t="str">
        <f t="shared" si="7"/>
        <v/>
      </c>
      <c r="G28" s="31" t="str">
        <f t="shared" si="7"/>
        <v/>
      </c>
      <c r="H28" s="31" t="str">
        <f t="shared" si="7"/>
        <v/>
      </c>
      <c r="I28" s="31" t="str">
        <f t="shared" si="7"/>
        <v/>
      </c>
      <c r="J28" s="31" t="str">
        <f t="shared" si="7"/>
        <v/>
      </c>
      <c r="K28" s="31" t="str">
        <f t="shared" si="7"/>
        <v/>
      </c>
      <c r="L28" s="31" t="str">
        <f t="shared" si="7"/>
        <v/>
      </c>
      <c r="M28" s="31" t="str">
        <f t="shared" si="7"/>
        <v/>
      </c>
      <c r="N28" s="31" t="str">
        <f t="shared" si="7"/>
        <v/>
      </c>
      <c r="O28" s="31" t="str">
        <f t="shared" si="7"/>
        <v/>
      </c>
      <c r="P28" s="31" t="str">
        <f t="shared" si="7"/>
        <v/>
      </c>
      <c r="Q28" s="31" t="str">
        <f t="shared" si="7"/>
        <v/>
      </c>
      <c r="R28" s="31" t="str">
        <f t="shared" si="7"/>
        <v/>
      </c>
      <c r="S28" s="31" t="str">
        <f t="shared" si="7"/>
        <v>X</v>
      </c>
      <c r="T28" s="31" t="str">
        <f t="shared" si="5"/>
        <v/>
      </c>
      <c r="U28" s="31" t="str">
        <f t="shared" si="5"/>
        <v/>
      </c>
      <c r="V28" s="31" t="str">
        <f t="shared" si="5"/>
        <v/>
      </c>
      <c r="W28" s="31" t="str">
        <f t="shared" si="5"/>
        <v/>
      </c>
      <c r="X28" s="31" t="str">
        <f t="shared" si="5"/>
        <v/>
      </c>
      <c r="Y28" s="31" t="str">
        <f t="shared" si="5"/>
        <v/>
      </c>
      <c r="Z28" s="31" t="str">
        <f t="shared" si="5"/>
        <v/>
      </c>
      <c r="AA28" s="31" t="str">
        <f t="shared" si="5"/>
        <v/>
      </c>
      <c r="AB28" s="31" t="str">
        <f t="shared" si="5"/>
        <v/>
      </c>
      <c r="AC28" s="31" t="str">
        <f t="shared" si="5"/>
        <v/>
      </c>
      <c r="AD28" s="31" t="str">
        <f t="shared" si="5"/>
        <v/>
      </c>
      <c r="AE28" s="31" t="str">
        <f t="shared" si="9"/>
        <v/>
      </c>
      <c r="AF28" s="31" t="str">
        <f t="shared" si="9"/>
        <v/>
      </c>
      <c r="AG28" s="31" t="str">
        <f t="shared" si="9"/>
        <v/>
      </c>
      <c r="AH28" s="31" t="str">
        <f t="shared" si="9"/>
        <v/>
      </c>
      <c r="AI28" s="31" t="str">
        <f t="shared" si="9"/>
        <v/>
      </c>
      <c r="AJ28" s="31" t="str">
        <f t="shared" si="9"/>
        <v/>
      </c>
      <c r="AK28" s="31" t="str">
        <f t="shared" si="9"/>
        <v/>
      </c>
      <c r="AL28" s="31" t="str">
        <f t="shared" si="9"/>
        <v/>
      </c>
      <c r="AM28" s="31" t="str">
        <f t="shared" si="9"/>
        <v/>
      </c>
      <c r="AN28" s="31" t="str">
        <f t="shared" si="9"/>
        <v/>
      </c>
      <c r="AO28" s="31" t="str">
        <f t="shared" si="9"/>
        <v/>
      </c>
      <c r="AP28" s="31" t="str">
        <f t="shared" si="9"/>
        <v/>
      </c>
      <c r="AQ28" s="31" t="str">
        <f t="shared" si="9"/>
        <v/>
      </c>
      <c r="AR28" s="31" t="str">
        <f t="shared" si="9"/>
        <v/>
      </c>
      <c r="AS28" s="31" t="str">
        <f t="shared" si="9"/>
        <v/>
      </c>
      <c r="AT28" s="31" t="str">
        <f t="shared" si="9"/>
        <v/>
      </c>
      <c r="AU28" s="31" t="str">
        <f t="shared" si="8"/>
        <v/>
      </c>
      <c r="AV28" s="31" t="str">
        <f t="shared" si="8"/>
        <v/>
      </c>
      <c r="AW28" s="31" t="str">
        <f t="shared" si="8"/>
        <v/>
      </c>
      <c r="AX28" s="31" t="str">
        <f t="shared" si="8"/>
        <v/>
      </c>
      <c r="AY28" s="31" t="str">
        <f t="shared" si="8"/>
        <v/>
      </c>
      <c r="AZ28" s="31" t="str">
        <f t="shared" si="6"/>
        <v/>
      </c>
      <c r="BA28" s="31" t="str">
        <f t="shared" si="6"/>
        <v/>
      </c>
      <c r="BB28" s="31" t="str">
        <f t="shared" si="6"/>
        <v/>
      </c>
      <c r="BC28" s="31" t="str">
        <f t="shared" si="6"/>
        <v/>
      </c>
    </row>
    <row r="29" spans="1:55">
      <c r="A29" s="28" t="s">
        <v>243</v>
      </c>
      <c r="B29" s="28" t="s">
        <v>244</v>
      </c>
      <c r="C29" s="30">
        <v>43973</v>
      </c>
      <c r="D29" s="31" t="str">
        <f t="shared" si="7"/>
        <v/>
      </c>
      <c r="E29" s="31" t="str">
        <f t="shared" si="7"/>
        <v/>
      </c>
      <c r="F29" s="31" t="str">
        <f t="shared" si="7"/>
        <v/>
      </c>
      <c r="G29" s="31" t="str">
        <f t="shared" si="7"/>
        <v/>
      </c>
      <c r="H29" s="31" t="str">
        <f t="shared" si="7"/>
        <v/>
      </c>
      <c r="I29" s="31" t="str">
        <f t="shared" si="7"/>
        <v/>
      </c>
      <c r="J29" s="31" t="str">
        <f t="shared" si="7"/>
        <v/>
      </c>
      <c r="K29" s="31" t="str">
        <f t="shared" si="7"/>
        <v/>
      </c>
      <c r="L29" s="31" t="str">
        <f t="shared" si="7"/>
        <v/>
      </c>
      <c r="M29" s="31" t="str">
        <f t="shared" si="7"/>
        <v/>
      </c>
      <c r="N29" s="31" t="str">
        <f t="shared" si="7"/>
        <v/>
      </c>
      <c r="O29" s="31" t="str">
        <f t="shared" si="7"/>
        <v/>
      </c>
      <c r="P29" s="31" t="str">
        <f t="shared" si="7"/>
        <v/>
      </c>
      <c r="Q29" s="31" t="str">
        <f t="shared" si="7"/>
        <v/>
      </c>
      <c r="R29" s="31" t="str">
        <f t="shared" si="7"/>
        <v/>
      </c>
      <c r="S29" s="31" t="str">
        <f t="shared" si="7"/>
        <v/>
      </c>
      <c r="T29" s="31" t="str">
        <f t="shared" si="5"/>
        <v/>
      </c>
      <c r="U29" s="31" t="str">
        <f t="shared" si="5"/>
        <v/>
      </c>
      <c r="V29" s="31" t="str">
        <f t="shared" si="5"/>
        <v/>
      </c>
      <c r="W29" s="31" t="str">
        <f t="shared" si="5"/>
        <v/>
      </c>
      <c r="X29" s="31" t="str">
        <f t="shared" si="5"/>
        <v>X</v>
      </c>
      <c r="Y29" s="31" t="str">
        <f t="shared" si="5"/>
        <v/>
      </c>
      <c r="Z29" s="31" t="str">
        <f t="shared" si="5"/>
        <v/>
      </c>
      <c r="AA29" s="31" t="str">
        <f t="shared" si="5"/>
        <v/>
      </c>
      <c r="AB29" s="31" t="str">
        <f t="shared" si="5"/>
        <v/>
      </c>
      <c r="AC29" s="31" t="str">
        <f t="shared" si="5"/>
        <v/>
      </c>
      <c r="AD29" s="31" t="str">
        <f t="shared" si="5"/>
        <v/>
      </c>
      <c r="AE29" s="31" t="str">
        <f t="shared" si="9"/>
        <v/>
      </c>
      <c r="AF29" s="31" t="str">
        <f t="shared" si="9"/>
        <v/>
      </c>
      <c r="AG29" s="31" t="str">
        <f t="shared" si="9"/>
        <v/>
      </c>
      <c r="AH29" s="31" t="str">
        <f t="shared" si="9"/>
        <v/>
      </c>
      <c r="AI29" s="31" t="str">
        <f t="shared" si="9"/>
        <v/>
      </c>
      <c r="AJ29" s="31" t="str">
        <f t="shared" si="9"/>
        <v/>
      </c>
      <c r="AK29" s="31" t="str">
        <f t="shared" si="9"/>
        <v/>
      </c>
      <c r="AL29" s="31" t="str">
        <f t="shared" si="9"/>
        <v/>
      </c>
      <c r="AM29" s="31" t="str">
        <f t="shared" si="9"/>
        <v/>
      </c>
      <c r="AN29" s="31" t="str">
        <f t="shared" si="9"/>
        <v/>
      </c>
      <c r="AO29" s="31" t="str">
        <f t="shared" si="9"/>
        <v/>
      </c>
      <c r="AP29" s="31" t="str">
        <f t="shared" si="9"/>
        <v/>
      </c>
      <c r="AQ29" s="31" t="str">
        <f t="shared" si="9"/>
        <v/>
      </c>
      <c r="AR29" s="31" t="str">
        <f t="shared" si="9"/>
        <v/>
      </c>
      <c r="AS29" s="31" t="str">
        <f t="shared" si="9"/>
        <v/>
      </c>
      <c r="AT29" s="31" t="str">
        <f t="shared" si="9"/>
        <v/>
      </c>
      <c r="AU29" s="31" t="str">
        <f t="shared" si="8"/>
        <v/>
      </c>
      <c r="AV29" s="31" t="str">
        <f t="shared" si="8"/>
        <v/>
      </c>
      <c r="AW29" s="31" t="str">
        <f t="shared" si="8"/>
        <v/>
      </c>
      <c r="AX29" s="31" t="str">
        <f t="shared" si="8"/>
        <v/>
      </c>
      <c r="AY29" s="31" t="str">
        <f t="shared" si="8"/>
        <v/>
      </c>
      <c r="AZ29" s="31" t="str">
        <f t="shared" si="6"/>
        <v/>
      </c>
      <c r="BA29" s="31" t="str">
        <f t="shared" si="6"/>
        <v/>
      </c>
      <c r="BB29" s="31" t="str">
        <f t="shared" si="6"/>
        <v/>
      </c>
      <c r="BC29" s="31" t="str">
        <f t="shared" si="6"/>
        <v/>
      </c>
    </row>
    <row r="30" spans="1:55">
      <c r="A30" s="28" t="s">
        <v>245</v>
      </c>
      <c r="B30" s="28" t="s">
        <v>246</v>
      </c>
      <c r="C30" s="30">
        <v>43909</v>
      </c>
      <c r="D30" s="31" t="str">
        <f t="shared" si="7"/>
        <v/>
      </c>
      <c r="E30" s="31" t="str">
        <f t="shared" si="7"/>
        <v/>
      </c>
      <c r="F30" s="31" t="str">
        <f t="shared" si="7"/>
        <v/>
      </c>
      <c r="G30" s="31" t="str">
        <f t="shared" si="7"/>
        <v/>
      </c>
      <c r="H30" s="31" t="str">
        <f t="shared" si="7"/>
        <v/>
      </c>
      <c r="I30" s="31" t="str">
        <f t="shared" si="7"/>
        <v/>
      </c>
      <c r="J30" s="31" t="str">
        <f t="shared" si="7"/>
        <v/>
      </c>
      <c r="K30" s="31" t="str">
        <f t="shared" si="7"/>
        <v/>
      </c>
      <c r="L30" s="31" t="str">
        <f t="shared" si="7"/>
        <v/>
      </c>
      <c r="M30" s="31" t="str">
        <f t="shared" si="7"/>
        <v/>
      </c>
      <c r="N30" s="31" t="str">
        <f t="shared" si="7"/>
        <v/>
      </c>
      <c r="O30" s="31" t="str">
        <f t="shared" si="7"/>
        <v>X</v>
      </c>
      <c r="P30" s="31" t="str">
        <f t="shared" si="7"/>
        <v/>
      </c>
      <c r="Q30" s="31" t="str">
        <f t="shared" si="7"/>
        <v/>
      </c>
      <c r="R30" s="31" t="str">
        <f t="shared" si="7"/>
        <v/>
      </c>
      <c r="S30" s="31" t="str">
        <f t="shared" si="7"/>
        <v/>
      </c>
      <c r="T30" s="31" t="str">
        <f t="shared" si="5"/>
        <v/>
      </c>
      <c r="U30" s="31" t="str">
        <f t="shared" si="5"/>
        <v/>
      </c>
      <c r="V30" s="31" t="str">
        <f t="shared" si="5"/>
        <v/>
      </c>
      <c r="W30" s="31" t="str">
        <f t="shared" si="5"/>
        <v/>
      </c>
      <c r="X30" s="31" t="str">
        <f t="shared" si="5"/>
        <v/>
      </c>
      <c r="Y30" s="31" t="str">
        <f t="shared" si="5"/>
        <v/>
      </c>
      <c r="Z30" s="31" t="str">
        <f t="shared" si="5"/>
        <v/>
      </c>
      <c r="AA30" s="31" t="str">
        <f t="shared" si="5"/>
        <v/>
      </c>
      <c r="AB30" s="31" t="str">
        <f t="shared" si="5"/>
        <v/>
      </c>
      <c r="AC30" s="31" t="str">
        <f t="shared" si="5"/>
        <v/>
      </c>
      <c r="AD30" s="31" t="str">
        <f t="shared" si="5"/>
        <v/>
      </c>
      <c r="AE30" s="31" t="str">
        <f t="shared" si="9"/>
        <v/>
      </c>
      <c r="AF30" s="31" t="str">
        <f t="shared" si="9"/>
        <v/>
      </c>
      <c r="AG30" s="31" t="str">
        <f t="shared" si="9"/>
        <v/>
      </c>
      <c r="AH30" s="31" t="str">
        <f t="shared" si="9"/>
        <v/>
      </c>
      <c r="AI30" s="31" t="str">
        <f t="shared" si="9"/>
        <v/>
      </c>
      <c r="AJ30" s="31" t="str">
        <f t="shared" si="9"/>
        <v/>
      </c>
      <c r="AK30" s="31" t="str">
        <f t="shared" si="9"/>
        <v/>
      </c>
      <c r="AL30" s="31" t="str">
        <f t="shared" si="9"/>
        <v/>
      </c>
      <c r="AM30" s="31" t="str">
        <f t="shared" si="9"/>
        <v/>
      </c>
      <c r="AN30" s="31" t="str">
        <f t="shared" si="9"/>
        <v/>
      </c>
      <c r="AO30" s="31" t="str">
        <f t="shared" si="9"/>
        <v/>
      </c>
      <c r="AP30" s="31" t="str">
        <f t="shared" si="9"/>
        <v/>
      </c>
      <c r="AQ30" s="31" t="str">
        <f t="shared" si="9"/>
        <v/>
      </c>
      <c r="AR30" s="31" t="str">
        <f t="shared" si="9"/>
        <v/>
      </c>
      <c r="AS30" s="31" t="str">
        <f t="shared" si="9"/>
        <v/>
      </c>
      <c r="AT30" s="31" t="str">
        <f t="shared" si="9"/>
        <v/>
      </c>
      <c r="AU30" s="31" t="str">
        <f t="shared" si="8"/>
        <v/>
      </c>
      <c r="AV30" s="31" t="str">
        <f t="shared" si="8"/>
        <v/>
      </c>
      <c r="AW30" s="31" t="str">
        <f t="shared" si="8"/>
        <v/>
      </c>
      <c r="AX30" s="31" t="str">
        <f t="shared" si="8"/>
        <v/>
      </c>
      <c r="AY30" s="31" t="str">
        <f t="shared" si="8"/>
        <v/>
      </c>
      <c r="AZ30" s="31" t="str">
        <f t="shared" si="6"/>
        <v/>
      </c>
      <c r="BA30" s="31" t="str">
        <f t="shared" si="6"/>
        <v/>
      </c>
      <c r="BB30" s="31" t="str">
        <f t="shared" si="6"/>
        <v/>
      </c>
      <c r="BC30" s="31" t="str">
        <f t="shared" si="6"/>
        <v/>
      </c>
    </row>
    <row r="31" spans="1:55">
      <c r="A31" s="28" t="s">
        <v>247</v>
      </c>
      <c r="B31" s="28" t="s">
        <v>248</v>
      </c>
      <c r="C31" s="30">
        <v>44008</v>
      </c>
      <c r="D31" s="31" t="str">
        <f t="shared" si="7"/>
        <v/>
      </c>
      <c r="E31" s="31" t="str">
        <f t="shared" si="7"/>
        <v/>
      </c>
      <c r="F31" s="31" t="str">
        <f t="shared" si="7"/>
        <v/>
      </c>
      <c r="G31" s="31" t="str">
        <f t="shared" si="7"/>
        <v/>
      </c>
      <c r="H31" s="31" t="str">
        <f t="shared" si="7"/>
        <v/>
      </c>
      <c r="I31" s="31" t="str">
        <f t="shared" si="7"/>
        <v/>
      </c>
      <c r="J31" s="31" t="str">
        <f t="shared" si="7"/>
        <v/>
      </c>
      <c r="K31" s="31" t="str">
        <f t="shared" si="7"/>
        <v/>
      </c>
      <c r="L31" s="31" t="str">
        <f t="shared" si="7"/>
        <v/>
      </c>
      <c r="M31" s="31" t="str">
        <f t="shared" si="7"/>
        <v/>
      </c>
      <c r="N31" s="31" t="str">
        <f t="shared" si="7"/>
        <v/>
      </c>
      <c r="O31" s="31" t="str">
        <f t="shared" si="7"/>
        <v/>
      </c>
      <c r="P31" s="31" t="str">
        <f t="shared" si="7"/>
        <v/>
      </c>
      <c r="Q31" s="31" t="str">
        <f t="shared" si="7"/>
        <v/>
      </c>
      <c r="R31" s="31" t="str">
        <f t="shared" si="7"/>
        <v/>
      </c>
      <c r="S31" s="31" t="str">
        <f t="shared" si="7"/>
        <v/>
      </c>
      <c r="T31" s="31" t="str">
        <f t="shared" si="5"/>
        <v/>
      </c>
      <c r="U31" s="31" t="str">
        <f t="shared" si="5"/>
        <v/>
      </c>
      <c r="V31" s="31" t="str">
        <f t="shared" si="5"/>
        <v/>
      </c>
      <c r="W31" s="31" t="str">
        <f t="shared" si="5"/>
        <v/>
      </c>
      <c r="X31" s="31" t="str">
        <f t="shared" si="5"/>
        <v/>
      </c>
      <c r="Y31" s="31" t="str">
        <f t="shared" si="5"/>
        <v/>
      </c>
      <c r="Z31" s="31" t="str">
        <f t="shared" si="5"/>
        <v/>
      </c>
      <c r="AA31" s="31" t="str">
        <f t="shared" si="5"/>
        <v/>
      </c>
      <c r="AB31" s="31" t="str">
        <f t="shared" si="5"/>
        <v/>
      </c>
      <c r="AC31" s="31" t="str">
        <f t="shared" si="5"/>
        <v>X</v>
      </c>
      <c r="AD31" s="31" t="str">
        <f t="shared" si="5"/>
        <v/>
      </c>
      <c r="AE31" s="31" t="str">
        <f t="shared" si="9"/>
        <v/>
      </c>
      <c r="AF31" s="31" t="str">
        <f t="shared" si="9"/>
        <v/>
      </c>
      <c r="AG31" s="31" t="str">
        <f t="shared" si="9"/>
        <v/>
      </c>
      <c r="AH31" s="31" t="str">
        <f t="shared" si="9"/>
        <v/>
      </c>
      <c r="AI31" s="31" t="str">
        <f t="shared" si="9"/>
        <v/>
      </c>
      <c r="AJ31" s="31" t="str">
        <f t="shared" si="9"/>
        <v/>
      </c>
      <c r="AK31" s="31" t="str">
        <f t="shared" si="9"/>
        <v/>
      </c>
      <c r="AL31" s="31" t="str">
        <f t="shared" si="9"/>
        <v/>
      </c>
      <c r="AM31" s="31" t="str">
        <f t="shared" si="9"/>
        <v/>
      </c>
      <c r="AN31" s="31" t="str">
        <f t="shared" si="9"/>
        <v/>
      </c>
      <c r="AO31" s="31" t="str">
        <f t="shared" si="9"/>
        <v/>
      </c>
      <c r="AP31" s="31" t="str">
        <f t="shared" si="9"/>
        <v/>
      </c>
      <c r="AQ31" s="31" t="str">
        <f t="shared" si="9"/>
        <v/>
      </c>
      <c r="AR31" s="31" t="str">
        <f t="shared" si="9"/>
        <v/>
      </c>
      <c r="AS31" s="31" t="str">
        <f t="shared" si="9"/>
        <v/>
      </c>
      <c r="AT31" s="31" t="str">
        <f t="shared" si="9"/>
        <v/>
      </c>
      <c r="AU31" s="31" t="str">
        <f t="shared" si="8"/>
        <v/>
      </c>
      <c r="AV31" s="31" t="str">
        <f t="shared" si="8"/>
        <v/>
      </c>
      <c r="AW31" s="31" t="str">
        <f t="shared" si="8"/>
        <v/>
      </c>
      <c r="AX31" s="31" t="str">
        <f t="shared" si="8"/>
        <v/>
      </c>
      <c r="AY31" s="31" t="str">
        <f t="shared" si="8"/>
        <v/>
      </c>
      <c r="AZ31" s="31" t="str">
        <f t="shared" si="6"/>
        <v/>
      </c>
      <c r="BA31" s="31" t="str">
        <f t="shared" si="6"/>
        <v/>
      </c>
      <c r="BB31" s="31" t="str">
        <f t="shared" si="6"/>
        <v/>
      </c>
      <c r="BC31" s="31" t="str">
        <f t="shared" si="6"/>
        <v/>
      </c>
    </row>
    <row r="32" spans="1:55">
      <c r="A32" s="28" t="s">
        <v>249</v>
      </c>
      <c r="B32" s="28" t="s">
        <v>250</v>
      </c>
      <c r="C32" s="30">
        <v>43976</v>
      </c>
      <c r="D32" s="31" t="str">
        <f t="shared" si="7"/>
        <v/>
      </c>
      <c r="E32" s="31" t="str">
        <f t="shared" si="7"/>
        <v/>
      </c>
      <c r="F32" s="31" t="str">
        <f t="shared" si="7"/>
        <v/>
      </c>
      <c r="G32" s="31" t="str">
        <f t="shared" si="7"/>
        <v/>
      </c>
      <c r="H32" s="31" t="str">
        <f t="shared" si="7"/>
        <v/>
      </c>
      <c r="I32" s="31" t="str">
        <f t="shared" si="7"/>
        <v/>
      </c>
      <c r="J32" s="31" t="str">
        <f t="shared" si="7"/>
        <v/>
      </c>
      <c r="K32" s="31" t="str">
        <f t="shared" si="7"/>
        <v/>
      </c>
      <c r="L32" s="31" t="str">
        <f t="shared" si="7"/>
        <v/>
      </c>
      <c r="M32" s="31" t="str">
        <f t="shared" si="7"/>
        <v/>
      </c>
      <c r="N32" s="31" t="str">
        <f t="shared" si="7"/>
        <v/>
      </c>
      <c r="O32" s="31" t="str">
        <f t="shared" si="7"/>
        <v/>
      </c>
      <c r="P32" s="31" t="str">
        <f t="shared" si="7"/>
        <v/>
      </c>
      <c r="Q32" s="31" t="str">
        <f t="shared" si="7"/>
        <v/>
      </c>
      <c r="R32" s="31" t="str">
        <f t="shared" si="7"/>
        <v/>
      </c>
      <c r="S32" s="31" t="str">
        <f t="shared" si="7"/>
        <v/>
      </c>
      <c r="T32" s="31" t="str">
        <f t="shared" si="5"/>
        <v/>
      </c>
      <c r="U32" s="31" t="str">
        <f t="shared" si="5"/>
        <v/>
      </c>
      <c r="V32" s="31" t="str">
        <f t="shared" si="5"/>
        <v/>
      </c>
      <c r="W32" s="31" t="str">
        <f t="shared" si="5"/>
        <v/>
      </c>
      <c r="X32" s="31" t="str">
        <f t="shared" si="5"/>
        <v/>
      </c>
      <c r="Y32" s="31" t="str">
        <f t="shared" si="5"/>
        <v>X</v>
      </c>
      <c r="Z32" s="31" t="str">
        <f t="shared" si="5"/>
        <v/>
      </c>
      <c r="AA32" s="31" t="str">
        <f t="shared" si="5"/>
        <v/>
      </c>
      <c r="AB32" s="31" t="str">
        <f t="shared" si="5"/>
        <v/>
      </c>
      <c r="AC32" s="31" t="str">
        <f t="shared" si="5"/>
        <v/>
      </c>
      <c r="AD32" s="31" t="str">
        <f t="shared" si="5"/>
        <v/>
      </c>
      <c r="AE32" s="31" t="str">
        <f t="shared" si="9"/>
        <v/>
      </c>
      <c r="AF32" s="31" t="str">
        <f t="shared" si="9"/>
        <v/>
      </c>
      <c r="AG32" s="31" t="str">
        <f t="shared" si="9"/>
        <v/>
      </c>
      <c r="AH32" s="31" t="str">
        <f t="shared" si="9"/>
        <v/>
      </c>
      <c r="AI32" s="31" t="str">
        <f t="shared" si="9"/>
        <v/>
      </c>
      <c r="AJ32" s="31" t="str">
        <f t="shared" si="9"/>
        <v/>
      </c>
      <c r="AK32" s="31" t="str">
        <f t="shared" si="9"/>
        <v/>
      </c>
      <c r="AL32" s="31" t="str">
        <f t="shared" si="9"/>
        <v/>
      </c>
      <c r="AM32" s="31" t="str">
        <f t="shared" si="9"/>
        <v/>
      </c>
      <c r="AN32" s="31" t="str">
        <f t="shared" si="9"/>
        <v/>
      </c>
      <c r="AO32" s="31" t="str">
        <f t="shared" si="9"/>
        <v/>
      </c>
      <c r="AP32" s="31" t="str">
        <f t="shared" si="9"/>
        <v/>
      </c>
      <c r="AQ32" s="31" t="str">
        <f t="shared" si="9"/>
        <v/>
      </c>
      <c r="AR32" s="31" t="str">
        <f t="shared" si="9"/>
        <v/>
      </c>
      <c r="AS32" s="31" t="str">
        <f t="shared" si="9"/>
        <v/>
      </c>
      <c r="AT32" s="31" t="str">
        <f t="shared" si="9"/>
        <v/>
      </c>
      <c r="AU32" s="31" t="str">
        <f t="shared" si="8"/>
        <v/>
      </c>
      <c r="AV32" s="31" t="str">
        <f t="shared" si="8"/>
        <v/>
      </c>
      <c r="AW32" s="31" t="str">
        <f t="shared" si="8"/>
        <v/>
      </c>
      <c r="AX32" s="31" t="str">
        <f t="shared" si="8"/>
        <v/>
      </c>
      <c r="AY32" s="31" t="str">
        <f t="shared" si="8"/>
        <v/>
      </c>
      <c r="AZ32" s="31" t="str">
        <f t="shared" si="6"/>
        <v/>
      </c>
      <c r="BA32" s="31" t="str">
        <f t="shared" si="6"/>
        <v/>
      </c>
      <c r="BB32" s="31" t="str">
        <f t="shared" si="6"/>
        <v/>
      </c>
      <c r="BC32" s="31" t="str">
        <f t="shared" si="6"/>
        <v/>
      </c>
    </row>
    <row r="33" spans="1:55">
      <c r="A33" s="28" t="s">
        <v>251</v>
      </c>
      <c r="B33" s="28" t="s">
        <v>252</v>
      </c>
      <c r="C33" s="30">
        <v>43955</v>
      </c>
      <c r="D33" s="31" t="str">
        <f t="shared" si="7"/>
        <v/>
      </c>
      <c r="E33" s="31" t="str">
        <f t="shared" si="7"/>
        <v/>
      </c>
      <c r="F33" s="31" t="str">
        <f t="shared" si="7"/>
        <v/>
      </c>
      <c r="G33" s="31" t="str">
        <f t="shared" si="7"/>
        <v/>
      </c>
      <c r="H33" s="31" t="str">
        <f t="shared" si="7"/>
        <v/>
      </c>
      <c r="I33" s="31" t="str">
        <f t="shared" si="7"/>
        <v/>
      </c>
      <c r="J33" s="31" t="str">
        <f t="shared" si="7"/>
        <v/>
      </c>
      <c r="K33" s="31" t="str">
        <f t="shared" si="7"/>
        <v/>
      </c>
      <c r="L33" s="31" t="str">
        <f t="shared" si="7"/>
        <v/>
      </c>
      <c r="M33" s="31" t="str">
        <f t="shared" si="7"/>
        <v/>
      </c>
      <c r="N33" s="31" t="str">
        <f t="shared" si="7"/>
        <v/>
      </c>
      <c r="O33" s="31" t="str">
        <f t="shared" si="7"/>
        <v/>
      </c>
      <c r="P33" s="31" t="str">
        <f t="shared" si="7"/>
        <v/>
      </c>
      <c r="Q33" s="31" t="str">
        <f t="shared" si="7"/>
        <v/>
      </c>
      <c r="R33" s="31" t="str">
        <f t="shared" si="7"/>
        <v/>
      </c>
      <c r="S33" s="31" t="str">
        <f t="shared" si="7"/>
        <v/>
      </c>
      <c r="T33" s="31" t="str">
        <f t="shared" si="5"/>
        <v/>
      </c>
      <c r="U33" s="31" t="str">
        <f t="shared" si="5"/>
        <v/>
      </c>
      <c r="V33" s="31" t="str">
        <f t="shared" si="5"/>
        <v>X</v>
      </c>
      <c r="W33" s="31" t="str">
        <f t="shared" si="5"/>
        <v/>
      </c>
      <c r="X33" s="31" t="str">
        <f t="shared" si="5"/>
        <v/>
      </c>
      <c r="Y33" s="31" t="str">
        <f t="shared" si="5"/>
        <v/>
      </c>
      <c r="Z33" s="31" t="str">
        <f t="shared" si="5"/>
        <v/>
      </c>
      <c r="AA33" s="31" t="str">
        <f t="shared" si="5"/>
        <v/>
      </c>
      <c r="AB33" s="31" t="str">
        <f t="shared" si="5"/>
        <v/>
      </c>
      <c r="AC33" s="31" t="str">
        <f t="shared" si="5"/>
        <v/>
      </c>
      <c r="AD33" s="31" t="str">
        <f t="shared" si="5"/>
        <v/>
      </c>
      <c r="AE33" s="31" t="str">
        <f t="shared" si="9"/>
        <v/>
      </c>
      <c r="AF33" s="31" t="str">
        <f t="shared" si="9"/>
        <v/>
      </c>
      <c r="AG33" s="31" t="str">
        <f t="shared" si="9"/>
        <v/>
      </c>
      <c r="AH33" s="31" t="str">
        <f t="shared" si="9"/>
        <v/>
      </c>
      <c r="AI33" s="31" t="str">
        <f t="shared" si="9"/>
        <v/>
      </c>
      <c r="AJ33" s="31" t="str">
        <f t="shared" si="9"/>
        <v/>
      </c>
      <c r="AK33" s="31" t="str">
        <f t="shared" si="9"/>
        <v/>
      </c>
      <c r="AL33" s="31" t="str">
        <f t="shared" si="9"/>
        <v/>
      </c>
      <c r="AM33" s="31" t="str">
        <f t="shared" si="9"/>
        <v/>
      </c>
      <c r="AN33" s="31" t="str">
        <f t="shared" si="9"/>
        <v/>
      </c>
      <c r="AO33" s="31" t="str">
        <f t="shared" si="9"/>
        <v/>
      </c>
      <c r="AP33" s="31" t="str">
        <f t="shared" si="9"/>
        <v/>
      </c>
      <c r="AQ33" s="31" t="str">
        <f t="shared" si="9"/>
        <v/>
      </c>
      <c r="AR33" s="31" t="str">
        <f t="shared" si="9"/>
        <v/>
      </c>
      <c r="AS33" s="31" t="str">
        <f t="shared" si="9"/>
        <v/>
      </c>
      <c r="AT33" s="31" t="str">
        <f t="shared" si="9"/>
        <v/>
      </c>
      <c r="AU33" s="31" t="str">
        <f t="shared" si="8"/>
        <v/>
      </c>
      <c r="AV33" s="31" t="str">
        <f t="shared" si="8"/>
        <v/>
      </c>
      <c r="AW33" s="31" t="str">
        <f t="shared" si="8"/>
        <v/>
      </c>
      <c r="AX33" s="31" t="str">
        <f t="shared" si="8"/>
        <v/>
      </c>
      <c r="AY33" s="31" t="str">
        <f t="shared" si="8"/>
        <v/>
      </c>
      <c r="AZ33" s="31" t="str">
        <f t="shared" si="6"/>
        <v/>
      </c>
      <c r="BA33" s="31" t="str">
        <f t="shared" si="6"/>
        <v/>
      </c>
      <c r="BB33" s="31" t="str">
        <f t="shared" si="6"/>
        <v/>
      </c>
      <c r="BC33" s="31" t="str">
        <f t="shared" si="6"/>
        <v/>
      </c>
    </row>
    <row r="35" spans="1:55">
      <c r="B35" s="30">
        <v>43831</v>
      </c>
      <c r="C35" s="30">
        <v>43891</v>
      </c>
    </row>
  </sheetData>
  <conditionalFormatting sqref="D3:BC33">
    <cfRule type="cellIs" dxfId="4" priority="1" operator="equal">
      <formula>"X"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A1:N16"/>
  <sheetViews>
    <sheetView workbookViewId="0">
      <selection activeCell="I26" sqref="I26"/>
    </sheetView>
  </sheetViews>
  <sheetFormatPr defaultRowHeight="15"/>
  <cols>
    <col min="1" max="1" width="22.85546875" bestFit="1" customWidth="1"/>
    <col min="2" max="6" width="8.42578125" bestFit="1" customWidth="1"/>
    <col min="7" max="7" width="8.85546875" bestFit="1" customWidth="1"/>
    <col min="8" max="8" width="9.7109375" bestFit="1" customWidth="1"/>
    <col min="9" max="9" width="9.42578125" bestFit="1" customWidth="1"/>
    <col min="10" max="13" width="8.42578125" bestFit="1" customWidth="1"/>
    <col min="14" max="14" width="10.5703125" bestFit="1" customWidth="1"/>
  </cols>
  <sheetData>
    <row r="1" spans="1:14">
      <c r="A1">
        <v>3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4" ht="15.75">
      <c r="A2" s="32" t="s">
        <v>253</v>
      </c>
      <c r="B2" s="32" t="s">
        <v>254</v>
      </c>
      <c r="C2" s="32" t="s">
        <v>255</v>
      </c>
      <c r="D2" s="32" t="s">
        <v>256</v>
      </c>
      <c r="E2" s="32" t="s">
        <v>257</v>
      </c>
      <c r="F2" s="32" t="s">
        <v>258</v>
      </c>
      <c r="G2" s="32" t="s">
        <v>259</v>
      </c>
      <c r="H2" s="32" t="s">
        <v>260</v>
      </c>
      <c r="I2" s="32" t="s">
        <v>261</v>
      </c>
      <c r="J2" s="32" t="s">
        <v>262</v>
      </c>
      <c r="K2" s="32" t="s">
        <v>263</v>
      </c>
      <c r="L2" s="32" t="s">
        <v>264</v>
      </c>
      <c r="M2" s="32" t="s">
        <v>265</v>
      </c>
      <c r="N2" s="33" t="s">
        <v>266</v>
      </c>
    </row>
    <row r="3" spans="1:14" ht="15.75">
      <c r="A3" s="34" t="s">
        <v>267</v>
      </c>
      <c r="B3" s="35">
        <f>SUMIFS([1]Butce_Detay!D1:D14,[1]Butce_Detay!C1:C14,A3,[1]Butce_Detay!B1:B14,#REF!)</f>
        <v>0</v>
      </c>
      <c r="C3" s="35">
        <v>1500</v>
      </c>
      <c r="D3" s="35">
        <v>500</v>
      </c>
      <c r="E3" s="35">
        <v>1600</v>
      </c>
      <c r="F3" s="35">
        <v>1200</v>
      </c>
      <c r="G3" s="35">
        <v>400</v>
      </c>
      <c r="H3" s="35">
        <v>3000</v>
      </c>
      <c r="I3" s="35">
        <v>1000</v>
      </c>
      <c r="J3" s="35">
        <v>1000</v>
      </c>
      <c r="K3" s="35">
        <v>1000</v>
      </c>
      <c r="L3" s="35">
        <v>1000</v>
      </c>
      <c r="M3" s="35">
        <v>1000</v>
      </c>
      <c r="N3" s="36"/>
    </row>
    <row r="4" spans="1:14" ht="15.75">
      <c r="A4" s="34" t="s">
        <v>268</v>
      </c>
      <c r="B4" s="35">
        <v>6000</v>
      </c>
      <c r="C4" s="35">
        <v>5000</v>
      </c>
      <c r="D4" s="35">
        <v>3999</v>
      </c>
      <c r="E4" s="35">
        <v>5000</v>
      </c>
      <c r="F4" s="35">
        <v>5000</v>
      </c>
      <c r="G4" s="35">
        <v>5000</v>
      </c>
      <c r="H4" s="35">
        <v>5000</v>
      </c>
      <c r="I4" s="35">
        <v>5000</v>
      </c>
      <c r="J4" s="35">
        <v>5000</v>
      </c>
      <c r="K4" s="35">
        <v>5000</v>
      </c>
      <c r="L4" s="35">
        <v>5000</v>
      </c>
      <c r="M4" s="35">
        <v>5000</v>
      </c>
      <c r="N4" s="4"/>
    </row>
    <row r="5" spans="1:14" ht="15.75">
      <c r="A5" s="34" t="s">
        <v>269</v>
      </c>
      <c r="B5" s="35">
        <v>2100</v>
      </c>
      <c r="C5" s="35">
        <v>2100</v>
      </c>
      <c r="D5" s="35">
        <v>2100</v>
      </c>
      <c r="E5" s="35">
        <v>3000</v>
      </c>
      <c r="F5" s="35">
        <v>2100</v>
      </c>
      <c r="G5" s="35">
        <v>2100</v>
      </c>
      <c r="H5" s="35">
        <v>2100</v>
      </c>
      <c r="I5" s="35">
        <v>3000</v>
      </c>
      <c r="J5" s="35">
        <v>2100</v>
      </c>
      <c r="K5" s="35">
        <v>2100</v>
      </c>
      <c r="L5" s="35">
        <v>2100</v>
      </c>
      <c r="M5" s="35">
        <v>2100</v>
      </c>
      <c r="N5" s="4"/>
    </row>
    <row r="6" spans="1:14" ht="15.75">
      <c r="A6" s="34" t="s">
        <v>270</v>
      </c>
      <c r="B6" s="35">
        <v>200</v>
      </c>
      <c r="C6" s="35">
        <v>1200</v>
      </c>
      <c r="D6" s="35">
        <v>1200</v>
      </c>
      <c r="E6" s="35">
        <v>400</v>
      </c>
      <c r="F6" s="35">
        <v>200</v>
      </c>
      <c r="G6" s="35">
        <v>1200</v>
      </c>
      <c r="H6" s="35">
        <v>1200</v>
      </c>
      <c r="I6" s="35">
        <v>2000</v>
      </c>
      <c r="J6" s="35">
        <v>500</v>
      </c>
      <c r="K6" s="35">
        <v>1200</v>
      </c>
      <c r="L6" s="35">
        <v>1200</v>
      </c>
      <c r="M6" s="35">
        <v>1200</v>
      </c>
      <c r="N6" s="4"/>
    </row>
    <row r="7" spans="1:14" ht="15.75">
      <c r="A7" s="34" t="s">
        <v>271</v>
      </c>
      <c r="B7" s="35">
        <v>1200</v>
      </c>
      <c r="C7" s="35">
        <v>1200</v>
      </c>
      <c r="D7" s="35">
        <v>1200</v>
      </c>
      <c r="E7" s="35">
        <v>500</v>
      </c>
      <c r="F7" s="35">
        <v>1200</v>
      </c>
      <c r="G7" s="35">
        <v>1200</v>
      </c>
      <c r="H7" s="35">
        <v>1200</v>
      </c>
      <c r="I7" s="35">
        <v>1000</v>
      </c>
      <c r="J7" s="35">
        <v>1200</v>
      </c>
      <c r="K7" s="35">
        <v>1200</v>
      </c>
      <c r="L7" s="35">
        <v>1200</v>
      </c>
      <c r="M7" s="35">
        <v>1200</v>
      </c>
      <c r="N7" s="4"/>
    </row>
    <row r="8" spans="1:14" ht="15.75">
      <c r="A8" s="34" t="s">
        <v>272</v>
      </c>
      <c r="B8" s="35">
        <v>1000</v>
      </c>
      <c r="C8" s="35">
        <v>1100</v>
      </c>
      <c r="D8" s="35">
        <v>600</v>
      </c>
      <c r="E8" s="35">
        <v>600</v>
      </c>
      <c r="F8" s="35">
        <v>1000</v>
      </c>
      <c r="G8" s="35">
        <v>1100</v>
      </c>
      <c r="H8" s="35">
        <v>1100</v>
      </c>
      <c r="I8" s="35">
        <v>2000</v>
      </c>
      <c r="J8" s="35">
        <v>1100</v>
      </c>
      <c r="K8" s="35">
        <v>1100</v>
      </c>
      <c r="L8" s="35">
        <v>3000</v>
      </c>
      <c r="M8" s="35">
        <v>1100</v>
      </c>
      <c r="N8" s="4"/>
    </row>
    <row r="9" spans="1:14" ht="15.75">
      <c r="A9" s="34" t="s">
        <v>273</v>
      </c>
      <c r="B9" s="35">
        <v>500</v>
      </c>
      <c r="C9" s="35">
        <v>500</v>
      </c>
      <c r="D9" s="35">
        <v>300</v>
      </c>
      <c r="E9" s="35">
        <v>400</v>
      </c>
      <c r="F9" s="35">
        <v>500</v>
      </c>
      <c r="G9" s="35">
        <v>2000</v>
      </c>
      <c r="H9" s="35">
        <v>300</v>
      </c>
      <c r="I9" s="35">
        <v>3000</v>
      </c>
      <c r="J9" s="35">
        <v>2000</v>
      </c>
      <c r="K9" s="35">
        <v>500</v>
      </c>
      <c r="L9" s="35">
        <v>300</v>
      </c>
      <c r="M9" s="35">
        <v>2500</v>
      </c>
      <c r="N9" s="4"/>
    </row>
    <row r="10" spans="1:14" ht="15.75">
      <c r="A10" s="34" t="s">
        <v>274</v>
      </c>
      <c r="B10" s="35">
        <v>600</v>
      </c>
      <c r="C10" s="35">
        <v>500</v>
      </c>
      <c r="D10" s="35">
        <v>400</v>
      </c>
      <c r="E10" s="35">
        <v>500</v>
      </c>
      <c r="F10" s="35">
        <v>600</v>
      </c>
      <c r="G10" s="35">
        <v>500</v>
      </c>
      <c r="H10" s="35">
        <v>400</v>
      </c>
      <c r="I10" s="35">
        <v>500</v>
      </c>
      <c r="J10" s="35">
        <v>500</v>
      </c>
      <c r="K10" s="35">
        <v>500</v>
      </c>
      <c r="L10" s="35">
        <v>400</v>
      </c>
      <c r="M10" s="35">
        <v>1000</v>
      </c>
      <c r="N10" s="4"/>
    </row>
    <row r="11" spans="1:14" ht="15.75">
      <c r="A11" s="34" t="s">
        <v>275</v>
      </c>
      <c r="B11" s="35">
        <v>1200</v>
      </c>
      <c r="C11" s="35">
        <v>2200</v>
      </c>
      <c r="D11" s="35">
        <v>600</v>
      </c>
      <c r="E11" s="35">
        <v>1000</v>
      </c>
      <c r="F11" s="35">
        <v>1200</v>
      </c>
      <c r="G11" s="35">
        <v>2200</v>
      </c>
      <c r="H11" s="35">
        <v>1000</v>
      </c>
      <c r="I11" s="35">
        <v>1000</v>
      </c>
      <c r="J11" s="35">
        <v>1000</v>
      </c>
      <c r="K11" s="35">
        <v>1000</v>
      </c>
      <c r="L11" s="35">
        <v>1000</v>
      </c>
      <c r="M11" s="35">
        <v>1000</v>
      </c>
      <c r="N11" s="4"/>
    </row>
    <row r="12" spans="1:14" ht="15.75">
      <c r="A12" s="34" t="s">
        <v>276</v>
      </c>
      <c r="B12" s="35">
        <v>2000</v>
      </c>
      <c r="C12" s="35">
        <v>300</v>
      </c>
      <c r="D12" s="35">
        <v>1600</v>
      </c>
      <c r="E12" s="35">
        <v>700</v>
      </c>
      <c r="F12" s="35">
        <v>1000</v>
      </c>
      <c r="G12" s="35">
        <v>1000</v>
      </c>
      <c r="H12" s="35">
        <v>1000</v>
      </c>
      <c r="I12" s="35">
        <v>1000</v>
      </c>
      <c r="J12" s="35">
        <v>1000</v>
      </c>
      <c r="K12" s="35">
        <v>1000</v>
      </c>
      <c r="L12" s="35">
        <v>1000</v>
      </c>
      <c r="M12" s="35">
        <v>1000</v>
      </c>
      <c r="N12" s="4"/>
    </row>
    <row r="13" spans="1:14" ht="15.75">
      <c r="A13" s="34" t="s">
        <v>277</v>
      </c>
      <c r="B13" s="35">
        <v>1200</v>
      </c>
      <c r="C13" s="35">
        <v>1000</v>
      </c>
      <c r="D13" s="35">
        <v>400</v>
      </c>
      <c r="E13" s="35">
        <v>700</v>
      </c>
      <c r="F13" s="35">
        <v>1200</v>
      </c>
      <c r="G13" s="35">
        <v>500</v>
      </c>
      <c r="H13" s="35">
        <v>400</v>
      </c>
      <c r="I13" s="35">
        <v>5000</v>
      </c>
      <c r="J13" s="35">
        <v>500</v>
      </c>
      <c r="K13" s="35">
        <v>1000</v>
      </c>
      <c r="L13" s="35">
        <v>400</v>
      </c>
      <c r="M13" s="35">
        <v>1000</v>
      </c>
      <c r="N13" s="4"/>
    </row>
    <row r="14" spans="1:14" ht="15.75">
      <c r="A14" s="34" t="s">
        <v>278</v>
      </c>
      <c r="B14" s="35">
        <v>1000</v>
      </c>
      <c r="C14" s="35">
        <v>300</v>
      </c>
      <c r="D14" s="35">
        <v>200</v>
      </c>
      <c r="E14" s="35">
        <v>500</v>
      </c>
      <c r="F14" s="35">
        <v>2100</v>
      </c>
      <c r="G14" s="35">
        <v>600</v>
      </c>
      <c r="H14" s="35">
        <v>200</v>
      </c>
      <c r="I14" s="35">
        <v>500</v>
      </c>
      <c r="J14" s="35">
        <v>600</v>
      </c>
      <c r="K14" s="35">
        <v>2100</v>
      </c>
      <c r="L14" s="35">
        <v>400</v>
      </c>
      <c r="M14" s="35">
        <v>1000</v>
      </c>
      <c r="N14" s="4"/>
    </row>
    <row r="15" spans="1:14">
      <c r="B15" s="37"/>
    </row>
    <row r="16" spans="1:14" ht="15.75">
      <c r="A16" s="38" t="s">
        <v>279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40">
        <f>SUM(B16:M16)</f>
        <v>0</v>
      </c>
    </row>
  </sheetData>
  <conditionalFormatting sqref="A3">
    <cfRule type="expression" dxfId="3" priority="4">
      <formula>AND(ROW(A3)=$A$1)</formula>
    </cfRule>
  </conditionalFormatting>
  <conditionalFormatting sqref="A4:A14">
    <cfRule type="expression" dxfId="2" priority="3">
      <formula>AND(ROW(A4)=$A$1)</formula>
    </cfRule>
  </conditionalFormatting>
  <conditionalFormatting sqref="B3:M3">
    <cfRule type="expression" dxfId="1" priority="2">
      <formula>AND(ROW($A3)=$A$1)</formula>
    </cfRule>
  </conditionalFormatting>
  <conditionalFormatting sqref="B4:M14">
    <cfRule type="expression" dxfId="0" priority="1">
      <formula>AND(ROW($A4)=$A$1)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ScrollBar1">
          <controlPr defaultSize="0" autoLine="0" linkedCell="A1" r:id="rId4">
            <anchor moveWithCells="1">
              <from>
                <xdr:col>14</xdr:col>
                <xdr:colOff>133350</xdr:colOff>
                <xdr:row>1</xdr:row>
                <xdr:rowOff>0</xdr:rowOff>
              </from>
              <to>
                <xdr:col>14</xdr:col>
                <xdr:colOff>485775</xdr:colOff>
                <xdr:row>14</xdr:row>
                <xdr:rowOff>9525</xdr:rowOff>
              </to>
            </anchor>
          </controlPr>
        </control>
      </mc:Choice>
      <mc:Fallback>
        <control shapeId="8193" r:id="rId3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</vt:i4>
      </vt:variant>
    </vt:vector>
  </HeadingPairs>
  <TitlesOfParts>
    <vt:vector size="9" baseType="lpstr">
      <vt:lpstr>Urun_Listesi</vt:lpstr>
      <vt:lpstr>URN 0001</vt:lpstr>
      <vt:lpstr>URN 0002</vt:lpstr>
      <vt:lpstr>SATIŞLAR_1</vt:lpstr>
      <vt:lpstr>SATIŞLAR_2</vt:lpstr>
      <vt:lpstr>Korumali_Veri_Girişi</vt:lpstr>
      <vt:lpstr>Personel_Izin</vt:lpstr>
      <vt:lpstr>Butce</vt:lpstr>
      <vt:lpstr>SATIŞLAR_1!Olcut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2020-03-12T17:17:02Z</dcterms:created>
  <dcterms:modified xsi:type="dcterms:W3CDTF">2020-03-13T10:53:50Z</dcterms:modified>
</cp:coreProperties>
</file>