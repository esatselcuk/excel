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-15" yWindow="-15" windowWidth="14400" windowHeight="14655" tabRatio="676" firstSheet="8" activeTab="17"/>
  </bookViews>
  <sheets>
    <sheet name="Personel_Izin" sheetId="11" r:id="rId1"/>
    <sheet name="TOPLAM" sheetId="1" r:id="rId2"/>
    <sheet name="FC_GIDA" sheetId="2" r:id="rId3"/>
    <sheet name="FC_AYCİCEK" sheetId="3" r:id="rId4"/>
    <sheet name="FC_SUT" sheetId="4" r:id="rId5"/>
    <sheet name="FC_YAGLARI" sheetId="5" r:id="rId6"/>
    <sheet name="ORNEK_YAGCI" sheetId="6" r:id="rId7"/>
    <sheet name="Veri Tablosu  - Tek Değişken" sheetId="7" r:id="rId8"/>
    <sheet name="Veri Tablosu  - Çoklu Değişken" sheetId="8" r:id="rId9"/>
    <sheet name="Hedef Ara" sheetId="9" r:id="rId10"/>
    <sheet name="SATIŞLAR_1" sheetId="10" r:id="rId11"/>
    <sheet name="Gün_Ay_Yil" sheetId="12" r:id="rId12"/>
    <sheet name="Dolaylı" sheetId="13" r:id="rId13"/>
    <sheet name="CHECKUP GEÇERLİLİK TABLO" sheetId="15" r:id="rId14"/>
    <sheet name="UZMAN HEKİMLER" sheetId="21" r:id="rId15"/>
    <sheet name="Satışlar2" sheetId="18" r:id="rId16"/>
    <sheet name="Sayfa19" sheetId="19" r:id="rId17"/>
    <sheet name="SİPARİŞLER" sheetId="22" r:id="rId18"/>
  </sheets>
  <externalReferences>
    <externalReference r:id="rId19"/>
    <externalReference r:id="rId20"/>
    <externalReference r:id="rId21"/>
  </externalReferences>
  <definedNames>
    <definedName name="_xlnm._FilterDatabase" localSheetId="13" hidden="1">'CHECKUP GEÇERLİLİK TABLO'!$B$1:$N$94</definedName>
    <definedName name="_xlnm._FilterDatabase" localSheetId="10" hidden="1">SATIŞLAR_1!$A$1:$I$37</definedName>
    <definedName name="_xlnm._FilterDatabase" localSheetId="14" hidden="1">'UZMAN HEKİMLER'!$B$4:$P$579</definedName>
    <definedName name="aygaz" localSheetId="16">Sayfa19!$A$1:$G$523</definedName>
    <definedName name="aylık_ödeme" localSheetId="9">'Hedef Ara'!$C$6</definedName>
    <definedName name="Aylık_Ödeme" localSheetId="8">'[1]Veri Tablosu  - Tek Değişken'!$C$9</definedName>
    <definedName name="Aylık_Ödeme">'Veri Tablosu  - Tek Değişken'!$C$9</definedName>
    <definedName name="Başlangıç_Dönem" localSheetId="9">#REF!</definedName>
    <definedName name="Başlangıç_Dönem" localSheetId="8">'[1]Veri Tablosu  - Tek Değişken'!$C$10</definedName>
    <definedName name="Başlangıç_Dönem">'Veri Tablosu  - Tek Değişken'!$C$10</definedName>
    <definedName name="Bitiş_Dönem" localSheetId="9">#REF!</definedName>
    <definedName name="Bitiş_Dönem" localSheetId="8">'[1]Veri Tablosu  - Tek Değişken'!$C$11</definedName>
    <definedName name="Bitiş_Dönem">'Veri Tablosu  - Tek Değişken'!$C$11</definedName>
    <definedName name="borç_miktarı" localSheetId="9">'Hedef Ara'!$C$4</definedName>
    <definedName name="Borç_Miktarı" localSheetId="8">'[1]Veri Tablosu  - Tek Değişken'!$C$7</definedName>
    <definedName name="Borç_Miktarı">'Veri Tablosu  - Tek Değişken'!$C$7</definedName>
    <definedName name="faiz_oranı" localSheetId="9">'Hedef Ara'!$C$2</definedName>
    <definedName name="Faiz_Oranı" localSheetId="8">'[1]Veri Tablosu  - Tek Değişken'!$C$5</definedName>
    <definedName name="Faiz_Oranı">'Veri Tablosu  - Tek Değişken'!$C$5</definedName>
    <definedName name="_xlnm.Criteria" localSheetId="10">SATIŞLAR_1!$J$1:$J$1</definedName>
    <definedName name="Ödenen_Ana_Para_Tutarı" localSheetId="9">#REF!</definedName>
    <definedName name="Ödenen_Ana_Para_Tutarı" localSheetId="8">'[1]Veri Tablosu  - Tek Değişken'!$C$13</definedName>
    <definedName name="Ödenen_Ana_Para_Tutarı">'Veri Tablosu  - Tek Değişken'!$C$13</definedName>
    <definedName name="Ödenen_Faiz_Tutarı" localSheetId="9">#REF!</definedName>
    <definedName name="Ödenen_Faiz_Tutarı" localSheetId="8">'[1]Veri Tablosu  - Tek Değişken'!$C$12</definedName>
    <definedName name="Ödenen_Faiz_Tutarı">'Veri Tablosu  - Tek Değişken'!$C$12</definedName>
    <definedName name="solver_eng" localSheetId="9" hidden="1">1</definedName>
    <definedName name="solver_neg" localSheetId="9" hidden="1">1</definedName>
    <definedName name="solver_num" localSheetId="9" hidden="1">0</definedName>
    <definedName name="solver_opt" localSheetId="9" hidden="1">'Hedef Ara'!#REF!</definedName>
    <definedName name="solver_typ" localSheetId="9" hidden="1">1</definedName>
    <definedName name="solver_val" localSheetId="9" hidden="1">0</definedName>
    <definedName name="solver_ver" localSheetId="9" hidden="1">3</definedName>
    <definedName name="tip" localSheetId="9">'Hedef Ara'!$C$5</definedName>
    <definedName name="Tip" localSheetId="8">'[1]Veri Tablosu  - Tek Değişken'!$C$8</definedName>
    <definedName name="Tip">'Veri Tablosu  - Tek Değişken'!$C$8</definedName>
    <definedName name="vade">'Hedef Ara'!$C$3</definedName>
    <definedName name="Vade_Ay" localSheetId="9">#REF!</definedName>
    <definedName name="Vade_Ay" localSheetId="8">'[1]Veri Tablosu  - Tek Değişken'!$C$6</definedName>
    <definedName name="Vade_Ay">'Veri Tablosu  - Tek Değişken'!$C$6</definedName>
    <definedName name="_xlnm.Print_Area" localSheetId="13">'CHECKUP GEÇERLİLİK TABLO'!$B$1:$N$94</definedName>
    <definedName name="_xlnm.Print_Area" localSheetId="14">'UZMAN HEKİMLER'!$B$4:$J$630</definedName>
    <definedName name="_xlnm.Print_Titles" localSheetId="13">'CHECKUP GEÇERLİLİK TABLO'!$1:$1</definedName>
    <definedName name="_xlnm.Print_Titles" localSheetId="14">'UZMAN HEKİMLER'!$4:$4</definedName>
  </definedNames>
  <calcPr calcId="144525"/>
</workbook>
</file>

<file path=xl/calcChain.xml><?xml version="1.0" encoding="utf-8"?>
<calcChain xmlns="http://schemas.openxmlformats.org/spreadsheetml/2006/main">
  <c r="N109" i="22" l="1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8" i="22"/>
  <c r="N7" i="22"/>
  <c r="N6" i="22"/>
  <c r="N5" i="22"/>
  <c r="N4" i="22"/>
  <c r="N3" i="22"/>
  <c r="N2" i="22"/>
  <c r="S4" i="15" l="1"/>
  <c r="R4" i="15"/>
  <c r="R5" i="15"/>
  <c r="R6" i="15"/>
  <c r="R7" i="15"/>
  <c r="R8" i="15"/>
  <c r="R9" i="15"/>
  <c r="R10" i="15"/>
  <c r="R11" i="15"/>
  <c r="R12" i="15"/>
  <c r="R3" i="15"/>
  <c r="N16" i="13" l="1"/>
  <c r="B3" i="13"/>
  <c r="A17" i="13"/>
  <c r="L17" i="13" l="1"/>
  <c r="L18" i="13" s="1"/>
  <c r="H17" i="13"/>
  <c r="H18" i="13" s="1"/>
  <c r="D17" i="13"/>
  <c r="D18" i="13" s="1"/>
  <c r="K17" i="13"/>
  <c r="K18" i="13" s="1"/>
  <c r="G17" i="13"/>
  <c r="G18" i="13" s="1"/>
  <c r="C17" i="13"/>
  <c r="C18" i="13" s="1"/>
  <c r="J17" i="13"/>
  <c r="J18" i="13" s="1"/>
  <c r="F17" i="13"/>
  <c r="F18" i="13" s="1"/>
  <c r="B17" i="13"/>
  <c r="B18" i="13" s="1"/>
  <c r="M17" i="13"/>
  <c r="M18" i="13" s="1"/>
  <c r="I17" i="13"/>
  <c r="I18" i="13" s="1"/>
  <c r="E17" i="13"/>
  <c r="E18" i="13" s="1"/>
  <c r="E43" i="12" l="1"/>
  <c r="L41" i="12"/>
  <c r="K41" i="12"/>
  <c r="J41" i="12"/>
  <c r="F41" i="12"/>
  <c r="H41" i="12" s="1"/>
  <c r="L40" i="12"/>
  <c r="K40" i="12"/>
  <c r="J40" i="12"/>
  <c r="F40" i="12"/>
  <c r="H40" i="12" s="1"/>
  <c r="L39" i="12"/>
  <c r="K39" i="12"/>
  <c r="J39" i="12"/>
  <c r="G39" i="12"/>
  <c r="F39" i="12"/>
  <c r="H39" i="12" s="1"/>
  <c r="L38" i="12"/>
  <c r="K38" i="12"/>
  <c r="J38" i="12"/>
  <c r="F38" i="12"/>
  <c r="H38" i="12" s="1"/>
  <c r="L37" i="12"/>
  <c r="K37" i="12"/>
  <c r="J37" i="12"/>
  <c r="G37" i="12"/>
  <c r="F37" i="12"/>
  <c r="H37" i="12" s="1"/>
  <c r="L36" i="12"/>
  <c r="K36" i="12"/>
  <c r="J36" i="12"/>
  <c r="H36" i="12"/>
  <c r="G36" i="12"/>
  <c r="F36" i="12"/>
  <c r="R35" i="12"/>
  <c r="L35" i="12"/>
  <c r="K35" i="12"/>
  <c r="J35" i="12"/>
  <c r="H35" i="12"/>
  <c r="F35" i="12"/>
  <c r="G35" i="12" s="1"/>
  <c r="L34" i="12"/>
  <c r="K34" i="12"/>
  <c r="J34" i="12"/>
  <c r="G34" i="12"/>
  <c r="F34" i="12"/>
  <c r="H34" i="12" s="1"/>
  <c r="L33" i="12"/>
  <c r="K33" i="12"/>
  <c r="J33" i="12"/>
  <c r="G33" i="12"/>
  <c r="F33" i="12"/>
  <c r="H33" i="12" s="1"/>
  <c r="L32" i="12"/>
  <c r="K32" i="12"/>
  <c r="J32" i="12"/>
  <c r="H32" i="12"/>
  <c r="F32" i="12"/>
  <c r="G32" i="12" s="1"/>
  <c r="V31" i="12"/>
  <c r="V34" i="12" s="1"/>
  <c r="L31" i="12"/>
  <c r="K31" i="12"/>
  <c r="J31" i="12"/>
  <c r="H31" i="12"/>
  <c r="G31" i="12"/>
  <c r="F31" i="12"/>
  <c r="L30" i="12"/>
  <c r="K30" i="12"/>
  <c r="J30" i="12"/>
  <c r="H30" i="12"/>
  <c r="G30" i="12"/>
  <c r="F30" i="12"/>
  <c r="L29" i="12"/>
  <c r="K29" i="12"/>
  <c r="J29" i="12"/>
  <c r="H29" i="12"/>
  <c r="G29" i="12"/>
  <c r="F29" i="12"/>
  <c r="L28" i="12"/>
  <c r="K28" i="12"/>
  <c r="J28" i="12"/>
  <c r="H28" i="12"/>
  <c r="G28" i="12"/>
  <c r="F28" i="12"/>
  <c r="L27" i="12"/>
  <c r="K27" i="12"/>
  <c r="J27" i="12"/>
  <c r="H27" i="12"/>
  <c r="G27" i="12"/>
  <c r="F27" i="12"/>
  <c r="L26" i="12"/>
  <c r="K26" i="12"/>
  <c r="J26" i="12"/>
  <c r="H26" i="12"/>
  <c r="G26" i="12"/>
  <c r="F26" i="12"/>
  <c r="L25" i="12"/>
  <c r="K25" i="12"/>
  <c r="J25" i="12"/>
  <c r="H25" i="12"/>
  <c r="G25" i="12"/>
  <c r="F25" i="12"/>
  <c r="L24" i="12"/>
  <c r="K24" i="12"/>
  <c r="J24" i="12"/>
  <c r="H24" i="12"/>
  <c r="G24" i="12"/>
  <c r="F24" i="12"/>
  <c r="L23" i="12"/>
  <c r="K23" i="12"/>
  <c r="J23" i="12"/>
  <c r="H23" i="12"/>
  <c r="G23" i="12"/>
  <c r="F23" i="12"/>
  <c r="L22" i="12"/>
  <c r="K22" i="12"/>
  <c r="J22" i="12"/>
  <c r="H22" i="12"/>
  <c r="G22" i="12"/>
  <c r="F22" i="12"/>
  <c r="L21" i="12"/>
  <c r="K21" i="12"/>
  <c r="J21" i="12"/>
  <c r="H21" i="12"/>
  <c r="G21" i="12"/>
  <c r="F21" i="12"/>
  <c r="L20" i="12"/>
  <c r="K20" i="12"/>
  <c r="J20" i="12"/>
  <c r="H20" i="12"/>
  <c r="G20" i="12"/>
  <c r="F20" i="12"/>
  <c r="L19" i="12"/>
  <c r="K19" i="12"/>
  <c r="J19" i="12"/>
  <c r="H19" i="12"/>
  <c r="G19" i="12"/>
  <c r="F19" i="12"/>
  <c r="L18" i="12"/>
  <c r="K18" i="12"/>
  <c r="J18" i="12"/>
  <c r="H18" i="12"/>
  <c r="G18" i="12"/>
  <c r="F18" i="12"/>
  <c r="L17" i="12"/>
  <c r="K17" i="12"/>
  <c r="J17" i="12"/>
  <c r="H17" i="12"/>
  <c r="G17" i="12"/>
  <c r="F17" i="12"/>
  <c r="L16" i="12"/>
  <c r="K16" i="12"/>
  <c r="J16" i="12"/>
  <c r="H16" i="12"/>
  <c r="F16" i="12"/>
  <c r="Y15" i="12"/>
  <c r="G16" i="12" s="1"/>
  <c r="L15" i="12"/>
  <c r="K15" i="12"/>
  <c r="J15" i="12"/>
  <c r="F15" i="12"/>
  <c r="G15" i="12" s="1"/>
  <c r="L14" i="12"/>
  <c r="K14" i="12"/>
  <c r="J14" i="12"/>
  <c r="F14" i="12"/>
  <c r="G14" i="12" s="1"/>
  <c r="L13" i="12"/>
  <c r="K13" i="12"/>
  <c r="S13" i="12" s="1"/>
  <c r="J13" i="12"/>
  <c r="G13" i="12"/>
  <c r="F13" i="12"/>
  <c r="H13" i="12" s="1"/>
  <c r="L12" i="12"/>
  <c r="K12" i="12"/>
  <c r="S12" i="12" s="1"/>
  <c r="J12" i="12"/>
  <c r="H12" i="12"/>
  <c r="F12" i="12"/>
  <c r="G12" i="12" s="1"/>
  <c r="L11" i="12"/>
  <c r="K11" i="12"/>
  <c r="S11" i="12" s="1"/>
  <c r="J11" i="12"/>
  <c r="G11" i="12"/>
  <c r="F11" i="12"/>
  <c r="H11" i="12" s="1"/>
  <c r="L10" i="12"/>
  <c r="K10" i="12"/>
  <c r="S10" i="12" s="1"/>
  <c r="J10" i="12"/>
  <c r="F10" i="12"/>
  <c r="G10" i="12" s="1"/>
  <c r="L9" i="12"/>
  <c r="O12" i="12" s="1"/>
  <c r="P12" i="12" s="1"/>
  <c r="K9" i="12"/>
  <c r="S9" i="12" s="1"/>
  <c r="J9" i="12"/>
  <c r="G9" i="12"/>
  <c r="F9" i="12"/>
  <c r="H9" i="12" s="1"/>
  <c r="O8" i="12"/>
  <c r="P8" i="12" s="1"/>
  <c r="L8" i="12"/>
  <c r="K8" i="12"/>
  <c r="S8" i="12" s="1"/>
  <c r="J8" i="12"/>
  <c r="H8" i="12"/>
  <c r="F8" i="12"/>
  <c r="G8" i="12" s="1"/>
  <c r="L7" i="12"/>
  <c r="K7" i="12"/>
  <c r="S7" i="12" s="1"/>
  <c r="J7" i="12"/>
  <c r="V4" i="12" s="1"/>
  <c r="G7" i="12"/>
  <c r="F7" i="12"/>
  <c r="H7" i="12" s="1"/>
  <c r="L6" i="12"/>
  <c r="K6" i="12"/>
  <c r="S6" i="12" s="1"/>
  <c r="J6" i="12"/>
  <c r="F6" i="12"/>
  <c r="G6" i="12" s="1"/>
  <c r="O5" i="12"/>
  <c r="P5" i="12" s="1"/>
  <c r="L5" i="12"/>
  <c r="K5" i="12"/>
  <c r="S5" i="12" s="1"/>
  <c r="J5" i="12"/>
  <c r="V5" i="12" s="1"/>
  <c r="H5" i="12"/>
  <c r="F5" i="12"/>
  <c r="G5" i="12" s="1"/>
  <c r="O4" i="12"/>
  <c r="P4" i="12" s="1"/>
  <c r="L4" i="12"/>
  <c r="K4" i="12"/>
  <c r="S4" i="12" s="1"/>
  <c r="J4" i="12"/>
  <c r="F4" i="12"/>
  <c r="G4" i="12" s="1"/>
  <c r="O3" i="12"/>
  <c r="P3" i="12" s="1"/>
  <c r="L3" i="12"/>
  <c r="K3" i="12"/>
  <c r="S3" i="12" s="1"/>
  <c r="J3" i="12"/>
  <c r="V3" i="12" s="1"/>
  <c r="H3" i="12"/>
  <c r="F3" i="12"/>
  <c r="G3" i="12" s="1"/>
  <c r="O2" i="12"/>
  <c r="P2" i="12" s="1"/>
  <c r="L2" i="12"/>
  <c r="O13" i="12" s="1"/>
  <c r="P13" i="12" s="1"/>
  <c r="K2" i="12"/>
  <c r="S2" i="12" s="1"/>
  <c r="J2" i="12"/>
  <c r="F2" i="12"/>
  <c r="G2" i="12" s="1"/>
  <c r="V32" i="12" l="1"/>
  <c r="V33" i="12"/>
  <c r="H2" i="12"/>
  <c r="H6" i="12"/>
  <c r="H10" i="12"/>
  <c r="H14" i="12"/>
  <c r="O14" i="12"/>
  <c r="P14" i="12" s="1"/>
  <c r="H15" i="12"/>
  <c r="O15" i="12"/>
  <c r="P15" i="12" s="1"/>
  <c r="G38" i="12"/>
  <c r="G40" i="12"/>
  <c r="H4" i="12"/>
  <c r="O6" i="12"/>
  <c r="P6" i="12" s="1"/>
  <c r="P33" i="12" s="1"/>
  <c r="O10" i="12"/>
  <c r="P10" i="12" s="1"/>
  <c r="O7" i="12"/>
  <c r="P7" i="12" s="1"/>
  <c r="O11" i="12"/>
  <c r="P11" i="12" s="1"/>
  <c r="O16" i="12"/>
  <c r="P16" i="12" s="1"/>
  <c r="O17" i="12"/>
  <c r="P17" i="12" s="1"/>
  <c r="O18" i="12"/>
  <c r="P18" i="12" s="1"/>
  <c r="O19" i="12"/>
  <c r="P19" i="12" s="1"/>
  <c r="O20" i="12"/>
  <c r="P20" i="12" s="1"/>
  <c r="O21" i="12"/>
  <c r="P21" i="12" s="1"/>
  <c r="O22" i="12"/>
  <c r="P22" i="12" s="1"/>
  <c r="O23" i="12"/>
  <c r="P23" i="12" s="1"/>
  <c r="O24" i="12"/>
  <c r="P24" i="12" s="1"/>
  <c r="O25" i="12"/>
  <c r="P25" i="12" s="1"/>
  <c r="O26" i="12"/>
  <c r="P26" i="12" s="1"/>
  <c r="O27" i="12"/>
  <c r="P27" i="12" s="1"/>
  <c r="O28" i="12"/>
  <c r="P28" i="12" s="1"/>
  <c r="O29" i="12"/>
  <c r="P29" i="12" s="1"/>
  <c r="O30" i="12"/>
  <c r="P30" i="12" s="1"/>
  <c r="O31" i="12"/>
  <c r="P31" i="12" s="1"/>
  <c r="O32" i="12"/>
  <c r="P32" i="12" s="1"/>
  <c r="G41" i="12"/>
  <c r="V2" i="12"/>
  <c r="O9" i="12"/>
  <c r="P9" i="12" s="1"/>
  <c r="BC33" i="11" l="1"/>
  <c r="BB33" i="11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BC32" i="11"/>
  <c r="BB32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BC29" i="11"/>
  <c r="BB29" i="11"/>
  <c r="BA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BC6" i="11"/>
  <c r="BB6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BC4" i="11"/>
  <c r="BB4" i="11"/>
  <c r="BA4" i="11"/>
  <c r="AZ4" i="11"/>
  <c r="AY4" i="11"/>
  <c r="AX4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C6" i="9" l="1"/>
  <c r="C11" i="8"/>
  <c r="D6" i="9"/>
  <c r="E18" i="8" l="1"/>
  <c r="F18" i="8" s="1"/>
  <c r="G18" i="8" s="1"/>
  <c r="H18" i="8" s="1"/>
  <c r="I18" i="8" s="1"/>
  <c r="C18" i="8"/>
  <c r="B18" i="7"/>
  <c r="B19" i="7" s="1"/>
  <c r="B20" i="7" s="1"/>
  <c r="B21" i="7" s="1"/>
  <c r="B22" i="7" s="1"/>
  <c r="B23" i="7" s="1"/>
  <c r="B24" i="7" s="1"/>
  <c r="B25" i="7" s="1"/>
  <c r="C13" i="7"/>
  <c r="C12" i="7"/>
  <c r="C9" i="7"/>
  <c r="C17" i="7" s="1"/>
  <c r="D13" i="7"/>
  <c r="D9" i="7"/>
  <c r="D12" i="7"/>
  <c r="D1" i="6" l="1"/>
  <c r="D1" i="5"/>
  <c r="D1" i="4"/>
  <c r="D1" i="3"/>
  <c r="D1" i="2"/>
  <c r="I8" i="6"/>
  <c r="I7" i="6"/>
  <c r="I6" i="6"/>
  <c r="I5" i="6"/>
  <c r="I4" i="6"/>
  <c r="I3" i="6"/>
  <c r="I6" i="5"/>
  <c r="I5" i="5"/>
  <c r="I4" i="5"/>
  <c r="I3" i="5"/>
  <c r="I6" i="4"/>
  <c r="I5" i="4"/>
  <c r="I4" i="4"/>
  <c r="I3" i="4"/>
  <c r="I9" i="3"/>
  <c r="I8" i="3"/>
  <c r="I7" i="3"/>
  <c r="I6" i="3"/>
  <c r="I5" i="3"/>
  <c r="I4" i="3"/>
  <c r="I3" i="3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</calcChain>
</file>

<file path=xl/comments1.xml><?xml version="1.0" encoding="utf-8"?>
<comments xmlns="http://schemas.openxmlformats.org/spreadsheetml/2006/main">
  <authors>
    <author>KürşadPC</author>
  </authors>
  <commentList>
    <comment ref="B17" authorId="0">
      <text>
        <r>
          <rPr>
            <b/>
            <sz val="9"/>
            <color indexed="81"/>
            <rFont val="Tahoma"/>
            <family val="2"/>
            <charset val="162"/>
          </rPr>
          <t>KürşadPC:</t>
        </r>
        <r>
          <rPr>
            <sz val="9"/>
            <color indexed="81"/>
            <rFont val="Tahoma"/>
            <family val="2"/>
            <charset val="162"/>
          </rPr>
          <t xml:space="preserve">
Tam buradan hücre aralığını seçiyoruz</t>
        </r>
      </text>
    </comment>
  </commentList>
</comments>
</file>

<file path=xl/comments2.xml><?xml version="1.0" encoding="utf-8"?>
<comments xmlns="http://schemas.openxmlformats.org/spreadsheetml/2006/main">
  <authors>
    <author>KürşadPC</author>
  </authors>
  <commentList>
    <comment ref="C18" authorId="0">
      <text>
        <r>
          <rPr>
            <b/>
            <sz val="9"/>
            <color indexed="81"/>
            <rFont val="Tahoma"/>
            <family val="2"/>
            <charset val="162"/>
          </rPr>
          <t>KürşadPC:</t>
        </r>
        <r>
          <rPr>
            <sz val="9"/>
            <color indexed="81"/>
            <rFont val="Tahoma"/>
            <family val="2"/>
            <charset val="162"/>
          </rPr>
          <t xml:space="preserve">
Tam buradan hücre aralığını seçiyoruz.</t>
        </r>
      </text>
    </comment>
  </commentList>
</comments>
</file>

<file path=xl/connections.xml><?xml version="1.0" encoding="utf-8"?>
<connections xmlns="http://schemas.openxmlformats.org/spreadsheetml/2006/main">
  <connection id="1" name="aygaz" type="6" refreshedVersion="4" background="1" saveData="1">
    <textPr codePage="857" sourceFile="C:\Users\userpc\Desktop\aygaz.csv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<sst xmlns="http://schemas.openxmlformats.org/spreadsheetml/2006/main" count="9024" uniqueCount="3163">
  <si>
    <t>ÜRÜN KODU</t>
  </si>
  <si>
    <t>ÜRÜN ADI</t>
  </si>
  <si>
    <t>MARKA</t>
  </si>
  <si>
    <t>KATEGORİ</t>
  </si>
  <si>
    <t>BİRİMİ</t>
  </si>
  <si>
    <t>KDV ORANI</t>
  </si>
  <si>
    <t>Adet</t>
  </si>
  <si>
    <t>FİYAT1</t>
  </si>
  <si>
    <t>Toplam</t>
  </si>
  <si>
    <t>04112-24</t>
  </si>
  <si>
    <t>5 L TNK. AYÇİÇEK YAĞI</t>
  </si>
  <si>
    <t>FC AYÇİÇEK</t>
  </si>
  <si>
    <t>TEMEL GIDA</t>
  </si>
  <si>
    <t>ADET</t>
  </si>
  <si>
    <t>04112-25</t>
  </si>
  <si>
    <t>5 L PET AYÇİÇEK YAĞI</t>
  </si>
  <si>
    <t>04112-28</t>
  </si>
  <si>
    <t>10 L AYÇİÇEK YAĞI</t>
  </si>
  <si>
    <t>04112-29</t>
  </si>
  <si>
    <t>18 L AYÇİÇEK YAĞI</t>
  </si>
  <si>
    <t>4600-21</t>
  </si>
  <si>
    <t>1 LT AYÇİÇEK YAĞI FC</t>
  </si>
  <si>
    <t>610-23</t>
  </si>
  <si>
    <t>3 L AYÇİÇEK YAĞI FC</t>
  </si>
  <si>
    <t>6395-22</t>
  </si>
  <si>
    <t>2 LT AYÇİÇEK YAĞI FC</t>
  </si>
  <si>
    <t>00758-03</t>
  </si>
  <si>
    <t>ÇOKOMEL  MUZLU</t>
  </si>
  <si>
    <t>FC GIDA</t>
  </si>
  <si>
    <t>ATIŞTIRMALIK</t>
  </si>
  <si>
    <t>00893-01</t>
  </si>
  <si>
    <t xml:space="preserve">ÇOKOMEL  KAKOLU </t>
  </si>
  <si>
    <t>00894-00</t>
  </si>
  <si>
    <t xml:space="preserve">ÇOKOMEL  KAKOLU       </t>
  </si>
  <si>
    <t>00894-01</t>
  </si>
  <si>
    <t>ÇOKOPRENS TURTA -FC</t>
  </si>
  <si>
    <t>00895-00</t>
  </si>
  <si>
    <t>ÇOKOMEL  HİNDİSTANCEVİZLİ</t>
  </si>
  <si>
    <t>01262-03</t>
  </si>
  <si>
    <t>MOZAİK KEK</t>
  </si>
  <si>
    <t>01263-04</t>
  </si>
  <si>
    <t>KAPLAMALI KREMALI KEK</t>
  </si>
  <si>
    <t>01263-05</t>
  </si>
  <si>
    <t>KAKAOLU FINDIKLI KEK</t>
  </si>
  <si>
    <t>3454-66</t>
  </si>
  <si>
    <t>ÇOKOMEL  ÇİLEKLİ</t>
  </si>
  <si>
    <t>00052-01</t>
  </si>
  <si>
    <t xml:space="preserve">500 GR CAM MAYONEZ </t>
  </si>
  <si>
    <t>00056-01</t>
  </si>
  <si>
    <t xml:space="preserve">365 g MAYONEZ </t>
  </si>
  <si>
    <t>00071-04</t>
  </si>
  <si>
    <t xml:space="preserve">670 g MAYONEZ </t>
  </si>
  <si>
    <t>01260-00</t>
  </si>
  <si>
    <t>670 g MAYONEZ SOS</t>
  </si>
  <si>
    <t>06500-02</t>
  </si>
  <si>
    <t>EV ÇORBASI</t>
  </si>
  <si>
    <t>34534-444</t>
  </si>
  <si>
    <t>250 g CAM MAYONEZ</t>
  </si>
  <si>
    <t>04111-19</t>
  </si>
  <si>
    <t>1/2X6 SHRINK ŞİŞE SÜT</t>
  </si>
  <si>
    <t>FC SÜT</t>
  </si>
  <si>
    <t>34545-44</t>
  </si>
  <si>
    <t>1/1X6 SHRINK ŞİŞE SÜT</t>
  </si>
  <si>
    <t>4600-4</t>
  </si>
  <si>
    <t>1/1X6 BASKILI ŞİŞE SÜT</t>
  </si>
  <si>
    <t>6395-05</t>
  </si>
  <si>
    <t>1500 ML.ŞİŞE SÜT SHRINK</t>
  </si>
  <si>
    <t>04109-15</t>
  </si>
  <si>
    <t>ZEYTİN YAĞI 1 kg</t>
  </si>
  <si>
    <t>FC-YAĞLARI</t>
  </si>
  <si>
    <t>04109-16</t>
  </si>
  <si>
    <t>ZEYTİN YAĞI 2 kg</t>
  </si>
  <si>
    <t>04112-19</t>
  </si>
  <si>
    <t>AYÇİÇEK YAĞI 1 LT</t>
  </si>
  <si>
    <t>43543-45</t>
  </si>
  <si>
    <t>ZEYTİN YAĞI 5 KG</t>
  </si>
  <si>
    <t>04112-18</t>
  </si>
  <si>
    <t xml:space="preserve">AYÇİÇEK YAĞI 5 LT </t>
  </si>
  <si>
    <t>ÖRNEK YAĞCI</t>
  </si>
  <si>
    <t>04112-26</t>
  </si>
  <si>
    <t>AYÇİÇEK YAĞI 18 LT</t>
  </si>
  <si>
    <t>04112-27</t>
  </si>
  <si>
    <t>AYÇİÇEK YAĞI 10 LT</t>
  </si>
  <si>
    <t>04112-30</t>
  </si>
  <si>
    <t>AYÇİÇEK YAĞI 3 LT</t>
  </si>
  <si>
    <t>04112-31</t>
  </si>
  <si>
    <t>AYÇİÇEK YAĞI 5 LT</t>
  </si>
  <si>
    <t>04112-32</t>
  </si>
  <si>
    <t>AYÇİÇEK YAĞI 2 LT</t>
  </si>
  <si>
    <t>FC GIDA TOPLAMI</t>
  </si>
  <si>
    <t>FC AYÇİÇEK TOPLAMI</t>
  </si>
  <si>
    <t>ÖRNEK YAĞCI TOPLAMI</t>
  </si>
  <si>
    <t>FC YAGLARI TOPLAMI</t>
  </si>
  <si>
    <t>FC SUT TOPLAMI</t>
  </si>
  <si>
    <t>Birleştir ile sayfa toplamlarını buraya getirelim.</t>
  </si>
  <si>
    <t>Tek Değişkenli Data Tablosu</t>
  </si>
  <si>
    <t>Faiz Oranı</t>
  </si>
  <si>
    <t>Faiz_Oranı</t>
  </si>
  <si>
    <t>Vade (Ay)</t>
  </si>
  <si>
    <t>Vade_Ay</t>
  </si>
  <si>
    <t>Borç Miktarı</t>
  </si>
  <si>
    <t>Borç_Miktarı</t>
  </si>
  <si>
    <t xml:space="preserve">Tip </t>
  </si>
  <si>
    <t>Tip</t>
  </si>
  <si>
    <t>Aylık Ödeme</t>
  </si>
  <si>
    <t>Başlangıç Dönem</t>
  </si>
  <si>
    <t>Başlangıç_Dönem</t>
  </si>
  <si>
    <t>Bitiş Dönem</t>
  </si>
  <si>
    <t>Bitiş_Dönem</t>
  </si>
  <si>
    <t>1. Yılda Ödenen Toplam Faiz Tutarı</t>
  </si>
  <si>
    <t>1. Yılda Ödenen Toplam Ana Para Tutarı</t>
  </si>
  <si>
    <t>Çift Değişkenli Data Tablosu</t>
  </si>
  <si>
    <t>Vade</t>
  </si>
  <si>
    <t>faiz_oranı</t>
  </si>
  <si>
    <t>vade</t>
  </si>
  <si>
    <t>borç_miktarı</t>
  </si>
  <si>
    <t>tip</t>
  </si>
  <si>
    <t>Amaç :</t>
  </si>
  <si>
    <t>Hedef :</t>
  </si>
  <si>
    <t>Faiz Oranı Kaç Olmalı</t>
  </si>
  <si>
    <t>Alttoplamları oluşturalım</t>
  </si>
  <si>
    <t>Personel Adı</t>
  </si>
  <si>
    <t>Personel Soyadı</t>
  </si>
  <si>
    <t>İzin Tarihi</t>
  </si>
  <si>
    <t>NEJMİ</t>
  </si>
  <si>
    <t>SOYKAN</t>
  </si>
  <si>
    <t>MEHMET HALİT</t>
  </si>
  <si>
    <t>SERAN</t>
  </si>
  <si>
    <t>AYDIN</t>
  </si>
  <si>
    <t>DEVECİ</t>
  </si>
  <si>
    <t>AYŞE</t>
  </si>
  <si>
    <t>ADINIR</t>
  </si>
  <si>
    <t>AYŞEGÜL</t>
  </si>
  <si>
    <t>MERAL</t>
  </si>
  <si>
    <t>BERRİN</t>
  </si>
  <si>
    <t>EREVİK</t>
  </si>
  <si>
    <t>BETÜL</t>
  </si>
  <si>
    <t>FETTAHLI</t>
  </si>
  <si>
    <t>BİRSEN</t>
  </si>
  <si>
    <t>GÜVEN</t>
  </si>
  <si>
    <t>CEM</t>
  </si>
  <si>
    <t>İRHAN</t>
  </si>
  <si>
    <t>DEMET</t>
  </si>
  <si>
    <t>ÖZCAN</t>
  </si>
  <si>
    <t>GÖZCÜ ATEŞ</t>
  </si>
  <si>
    <t>DİLEK</t>
  </si>
  <si>
    <t>YURDAKUL</t>
  </si>
  <si>
    <t>GEZER</t>
  </si>
  <si>
    <t>DUYGU</t>
  </si>
  <si>
    <t>KAYA</t>
  </si>
  <si>
    <t>ELA</t>
  </si>
  <si>
    <t>ALTAN</t>
  </si>
  <si>
    <t>ERAY</t>
  </si>
  <si>
    <t>ERDEM</t>
  </si>
  <si>
    <t>ESRA</t>
  </si>
  <si>
    <t>KARAMÜRSEL OKAY</t>
  </si>
  <si>
    <t>EYLEM</t>
  </si>
  <si>
    <t>SEVERCAN</t>
  </si>
  <si>
    <t>FATİH</t>
  </si>
  <si>
    <t>ŞAHİN</t>
  </si>
  <si>
    <t>FATMA</t>
  </si>
  <si>
    <t>FİLİZ</t>
  </si>
  <si>
    <t>GÜZEL</t>
  </si>
  <si>
    <t>BOYRAZ</t>
  </si>
  <si>
    <t>FİSUN</t>
  </si>
  <si>
    <t>GÜNGÖR</t>
  </si>
  <si>
    <t>GÖNÜL</t>
  </si>
  <si>
    <t>KELEŞ</t>
  </si>
  <si>
    <t>GÜLCAN</t>
  </si>
  <si>
    <t>DOĞAN</t>
  </si>
  <si>
    <t>GÜLPERİ</t>
  </si>
  <si>
    <t>BULUT</t>
  </si>
  <si>
    <t>HALİDE</t>
  </si>
  <si>
    <t>ÇELİK</t>
  </si>
  <si>
    <t>KAZIM</t>
  </si>
  <si>
    <t>UĞUR</t>
  </si>
  <si>
    <t>LALE</t>
  </si>
  <si>
    <t>BEYAZIT</t>
  </si>
  <si>
    <t>MELEK</t>
  </si>
  <si>
    <t>HÖBEK</t>
  </si>
  <si>
    <t>MURAT</t>
  </si>
  <si>
    <t>ATEŞ</t>
  </si>
  <si>
    <t>Tarh</t>
  </si>
  <si>
    <t>Ürün</t>
  </si>
  <si>
    <t>Miktar</t>
  </si>
  <si>
    <t>Birim Fiyat</t>
  </si>
  <si>
    <t>Yıl</t>
  </si>
  <si>
    <t>Ay</t>
  </si>
  <si>
    <t>Gün</t>
  </si>
  <si>
    <t>Güne Göre Satışlar</t>
  </si>
  <si>
    <t>Aya Göre Satışlar</t>
  </si>
  <si>
    <t>Yıla göre Satışlar</t>
  </si>
  <si>
    <t>Pazartesi</t>
  </si>
  <si>
    <t>Ürün 1</t>
  </si>
  <si>
    <t>Salı</t>
  </si>
  <si>
    <t>Ürün 2</t>
  </si>
  <si>
    <t>Çarşamba</t>
  </si>
  <si>
    <t>Ürün 3</t>
  </si>
  <si>
    <t>Perşembe</t>
  </si>
  <si>
    <t>Ürün 4</t>
  </si>
  <si>
    <t>Cuma</t>
  </si>
  <si>
    <t>Ürün 5</t>
  </si>
  <si>
    <t>Cumartesi</t>
  </si>
  <si>
    <t>Ürün 6</t>
  </si>
  <si>
    <t>Pazar</t>
  </si>
  <si>
    <t>Ürün 7</t>
  </si>
  <si>
    <t>Ürün 8</t>
  </si>
  <si>
    <t>Ürün 9</t>
  </si>
  <si>
    <t>Ürün 10</t>
  </si>
  <si>
    <t>Ürün 11</t>
  </si>
  <si>
    <t>Ürün 12</t>
  </si>
  <si>
    <t>Ürün 13</t>
  </si>
  <si>
    <t>Ürün 14</t>
  </si>
  <si>
    <t>Ürün 15</t>
  </si>
  <si>
    <t>Ürün 16</t>
  </si>
  <si>
    <t>Ürün 17</t>
  </si>
  <si>
    <t>Ürün 18</t>
  </si>
  <si>
    <t>Ürün 19</t>
  </si>
  <si>
    <t>Ürün 20</t>
  </si>
  <si>
    <t>Ürün 21</t>
  </si>
  <si>
    <t>Ürün 22</t>
  </si>
  <si>
    <t>Ürün 23</t>
  </si>
  <si>
    <t>Ürün 24</t>
  </si>
  <si>
    <t>Ürün 25</t>
  </si>
  <si>
    <t>Ürün 26</t>
  </si>
  <si>
    <t>Ürün 27</t>
  </si>
  <si>
    <t>Ürün 28</t>
  </si>
  <si>
    <t>Ürün 29</t>
  </si>
  <si>
    <t>Ürün 30</t>
  </si>
  <si>
    <t>ŞİMDİ()</t>
  </si>
  <si>
    <t>Ürün 31</t>
  </si>
  <si>
    <t>SAAT(S31)</t>
  </si>
  <si>
    <t>Ürün 32</t>
  </si>
  <si>
    <t>DAKİKA(S31)</t>
  </si>
  <si>
    <t>Ürün 33</t>
  </si>
  <si>
    <t>SANİYE(U31)</t>
  </si>
  <si>
    <t>Ürün 34</t>
  </si>
  <si>
    <t>TAMİŞGÜNÜ(O31;O32)</t>
  </si>
  <si>
    <t>Ürün 35</t>
  </si>
  <si>
    <t>Ürün 36</t>
  </si>
  <si>
    <t>Ürün 37</t>
  </si>
  <si>
    <t>Ürün 38</t>
  </si>
  <si>
    <t>Ürün 39</t>
  </si>
  <si>
    <t>Ürün 40</t>
  </si>
  <si>
    <t>GİDERLER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</si>
  <si>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</si>
  <si>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</si>
  <si>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</si>
  <si>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</si>
  <si>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</si>
  <si>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</si>
  <si>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</si>
  <si>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</si>
  <si>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</si>
  <si>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</si>
  <si>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</si>
  <si>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</si>
  <si>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TOPLAM</t>
  </si>
  <si>
    <t>Reklam</t>
  </si>
  <si>
    <t>Ücretler</t>
  </si>
  <si>
    <t>Kira</t>
  </si>
  <si>
    <t>Elektrik-Su-Doğalgaz</t>
  </si>
  <si>
    <t>Sigorta</t>
  </si>
  <si>
    <t>Telefon</t>
  </si>
  <si>
    <t>Kırtasiye</t>
  </si>
  <si>
    <t>Mutfak</t>
  </si>
  <si>
    <t>Eğitim</t>
  </si>
  <si>
    <t>Yol ve Seyahat</t>
  </si>
  <si>
    <t>Vergi ve Lisanslar</t>
  </si>
  <si>
    <t>Faiz</t>
  </si>
  <si>
    <t xml:space="preserve">TOPLAM: </t>
  </si>
  <si>
    <t>KOD</t>
  </si>
  <si>
    <t>Kurum Adı</t>
  </si>
  <si>
    <t>İL</t>
  </si>
  <si>
    <t>Genel Sağlık Paneli</t>
  </si>
  <si>
    <t>Kardiak Panel-1</t>
  </si>
  <si>
    <t>Kardiak Panel-2</t>
  </si>
  <si>
    <t>Metabolizma Kontrol Paneli</t>
  </si>
  <si>
    <t>Tiroid Paneli</t>
  </si>
  <si>
    <t>Jinekolojik Panel</t>
  </si>
  <si>
    <t>Jinekolojik Panel-2</t>
  </si>
  <si>
    <t>Osteoporoz Paneli</t>
  </si>
  <si>
    <t>Uyku-Apne Paneli</t>
  </si>
  <si>
    <t xml:space="preserve">Üroloji Panel </t>
  </si>
  <si>
    <t>Koroner BT Anj.</t>
  </si>
  <si>
    <t xml:space="preserve"> Acıbadem Adana Hastanesi</t>
  </si>
  <si>
    <t xml:space="preserve">Adana </t>
  </si>
  <si>
    <t>√</t>
  </si>
  <si>
    <t>-</t>
  </si>
  <si>
    <t>YOK</t>
  </si>
  <si>
    <t>Adana Sistem Tıp Merk.</t>
  </si>
  <si>
    <t xml:space="preserve"> HRS Ankara Kadın Hastalıkları ve Doğum Hastanesi</t>
  </si>
  <si>
    <t>Ankara</t>
  </si>
  <si>
    <t>Acıbadem Ankara Hastanesi</t>
  </si>
  <si>
    <t>Ankara Memorial Hastanesi</t>
  </si>
  <si>
    <t xml:space="preserve">Güven Hast.    </t>
  </si>
  <si>
    <t>Liv Hospital  Ankara</t>
  </si>
  <si>
    <t xml:space="preserve">TOBB ETÜ Hastanesi </t>
  </si>
  <si>
    <t xml:space="preserve"> Alanya Yaşam Hastanesi</t>
  </si>
  <si>
    <t>Antalya</t>
  </si>
  <si>
    <t xml:space="preserve"> Manavgat Yaşam Hastanesi</t>
  </si>
  <si>
    <t xml:space="preserve"> Medical Park Antalya Hastane Kompleksi</t>
  </si>
  <si>
    <t xml:space="preserve"> Memorial Lara Tıp Merkezi</t>
  </si>
  <si>
    <t>Opera Yaşam Hastanesi</t>
  </si>
  <si>
    <t>Antalya Yaşam Hastanesi</t>
  </si>
  <si>
    <t>Memorial Antalya Hastanesi</t>
  </si>
  <si>
    <t xml:space="preserve"> Medical Park Batman Hastanesi</t>
  </si>
  <si>
    <t>Batman</t>
  </si>
  <si>
    <t xml:space="preserve"> Medical Park Bursa Hastanesi</t>
  </si>
  <si>
    <t>Bursa</t>
  </si>
  <si>
    <t>Acıbadem Hastanesi Bursa</t>
  </si>
  <si>
    <t xml:space="preserve">Bursa </t>
  </si>
  <si>
    <t>Çanakkale Anadolu Hastanesi</t>
  </si>
  <si>
    <t>Çanakkale</t>
  </si>
  <si>
    <t>Memorial Diyarbakır Hastanesi</t>
  </si>
  <si>
    <t>Diyarbakır</t>
  </si>
  <si>
    <t>Medical Park Elazığ Hastanesi</t>
  </si>
  <si>
    <t>Elazığ</t>
  </si>
  <si>
    <t>Acıbadem Eskişehir Hastanesi</t>
  </si>
  <si>
    <t>Eskişehir</t>
  </si>
  <si>
    <t xml:space="preserve"> Medical Park Gaziantep Hastanesi</t>
  </si>
  <si>
    <t>Gaziantep</t>
  </si>
  <si>
    <t xml:space="preserve"> Kozyatağı Central Hospital</t>
  </si>
  <si>
    <t>İstanbul</t>
  </si>
  <si>
    <t xml:space="preserve"> Medical Park Göztepe Hastane Kompleksi</t>
  </si>
  <si>
    <t xml:space="preserve"> Medicana International  İstanbul Hastanesi</t>
  </si>
  <si>
    <t>Acıbadem Ataşehir Tıp Merkezi</t>
  </si>
  <si>
    <t>Acıbadem Bağdat C. Pol.</t>
  </si>
  <si>
    <t>Acıbadem Bakırköy Hast.</t>
  </si>
  <si>
    <t>Acıbadem Başakşehir Tıp Merkezi</t>
  </si>
  <si>
    <t>Acıbadem Beylikdüzü Tıp Merk.</t>
  </si>
  <si>
    <t>Acıbadem Etiler Pol.</t>
  </si>
  <si>
    <t>Acıbadem Fulya Hastanesi</t>
  </si>
  <si>
    <t>Acıbadem Göktürk Tıp Merk.</t>
  </si>
  <si>
    <t>Acıbadem Hast.</t>
  </si>
  <si>
    <t>Acıbadem Hastanesi Atakent</t>
  </si>
  <si>
    <t>Acıbadem International Hastanesi</t>
  </si>
  <si>
    <t>Acıbadem Kozyatağı Hastanesi</t>
  </si>
  <si>
    <t>Acıbadem Maslak Hastanesi</t>
  </si>
  <si>
    <t>Acıbadem Taksim Hastanesi</t>
  </si>
  <si>
    <t>Acıbadem Zekeriyaköy Tıp Merkezi</t>
  </si>
  <si>
    <t>Alman Galata Pol.</t>
  </si>
  <si>
    <t>Amerikan Hastanesi(*)</t>
  </si>
  <si>
    <t>Anadolu Sağlık Ataşehir Tıp Merkezi</t>
  </si>
  <si>
    <t>Florence Nightingale Hastanesi</t>
  </si>
  <si>
    <t>Gayrettepe Florance Nightingale Hast.</t>
  </si>
  <si>
    <t>Gaziosmanpaşa Hastanesi</t>
  </si>
  <si>
    <t>Göktürk Florance Nightingale Tıp Merk.</t>
  </si>
  <si>
    <t>Hisar Intercontinental Hosp.</t>
  </si>
  <si>
    <t>Hizmet Hastanesi</t>
  </si>
  <si>
    <t>İntermed Polikliniği</t>
  </si>
  <si>
    <t>İstanbul Cerrahi Hast.</t>
  </si>
  <si>
    <t>İstanbul Florence Nightingale Hastanesi</t>
  </si>
  <si>
    <t>Kadıköy Florence Nightingale Hastanesi</t>
  </si>
  <si>
    <t xml:space="preserve">Kadıköy Şifa Ataşehir Hastanesi </t>
  </si>
  <si>
    <t>Kadıköy Şifa Hast.</t>
  </si>
  <si>
    <t>Lifemed Tıp Merk.</t>
  </si>
  <si>
    <t xml:space="preserve">Liv Hospital </t>
  </si>
  <si>
    <t>M.Ü.T.F.Vakfı İktisadi İşletmesi Akademic  Hosp.</t>
  </si>
  <si>
    <t>Med-Amerikan Pol.(*)</t>
  </si>
  <si>
    <t>Medical Park Hospital Bahçelievler</t>
  </si>
  <si>
    <t>Medmar Görüntüleme Merk.(**)</t>
  </si>
  <si>
    <t>Memorial Ataşehir Hastanesi</t>
  </si>
  <si>
    <t>Memorial Etiler Pol.</t>
  </si>
  <si>
    <t>Memorial Hastanesi</t>
  </si>
  <si>
    <t xml:space="preserve">Sante Tıp Merkezi     </t>
  </si>
  <si>
    <t>Sonomed Görün. Merk. (**)</t>
  </si>
  <si>
    <t>Spektromar(**)</t>
  </si>
  <si>
    <t>Unimed Sağlık Kontrol Merk.</t>
  </si>
  <si>
    <t>Yeditepe Üniv. Hastanesi</t>
  </si>
  <si>
    <t>Yeditepe Üniv. Hastanesi Bağdat Cad. Pol.</t>
  </si>
  <si>
    <t xml:space="preserve"> Medical Park İzmir Hastanesi</t>
  </si>
  <si>
    <t>İzmir</t>
  </si>
  <si>
    <t>Ege Sağlık Vakfı</t>
  </si>
  <si>
    <t>Park Sağlık Pol.</t>
  </si>
  <si>
    <t xml:space="preserve"> Kent Alsancak Tıp Merkezi</t>
  </si>
  <si>
    <t xml:space="preserve">İzmir </t>
  </si>
  <si>
    <t>Kent Hastanesi</t>
  </si>
  <si>
    <t xml:space="preserve"> Acıbadem Kayseri Hastanesi</t>
  </si>
  <si>
    <t>Kayseri</t>
  </si>
  <si>
    <t>Memorial Kayseri Hastanesi</t>
  </si>
  <si>
    <t>Acıbadem Kocaeli Hastanesi</t>
  </si>
  <si>
    <t>Kocaeli</t>
  </si>
  <si>
    <t>Anadolu Sağlık Merk.</t>
  </si>
  <si>
    <t>Medicalpark Gebze Hastanesi</t>
  </si>
  <si>
    <t xml:space="preserve">Konya Medicana Hastanesi </t>
  </si>
  <si>
    <t>Konya</t>
  </si>
  <si>
    <t>Mersin Sistem Cerrahi Tıp Merkezi</t>
  </si>
  <si>
    <t>Mersin</t>
  </si>
  <si>
    <t>Tarsus Medical Park Hastanesi</t>
  </si>
  <si>
    <t xml:space="preserve"> Acıbadem Bodrum Hastanesi</t>
  </si>
  <si>
    <t>Muğla</t>
  </si>
  <si>
    <t xml:space="preserve"> Bodrum Hastanesi</t>
  </si>
  <si>
    <t>Ahu Hetman Hast.</t>
  </si>
  <si>
    <t xml:space="preserve"> MedicalPark Ordu Hastanesi</t>
  </si>
  <si>
    <t>Ordu</t>
  </si>
  <si>
    <t xml:space="preserve"> Medical Park Samsun Hastanesi</t>
  </si>
  <si>
    <t>Samsun</t>
  </si>
  <si>
    <t xml:space="preserve"> Medical Park Tokat Hastanesi</t>
  </si>
  <si>
    <t>Tokat</t>
  </si>
  <si>
    <t xml:space="preserve"> Medical Park Trabzon  Hastanesi</t>
  </si>
  <si>
    <t>Trabzon</t>
  </si>
  <si>
    <t xml:space="preserve"> Medical Park Uşak Hastanesi</t>
  </si>
  <si>
    <t>Uşak</t>
  </si>
  <si>
    <t>Ereğli Anadolu Hastanesi</t>
  </si>
  <si>
    <t>Zonguldak</t>
  </si>
  <si>
    <t>SIRA NO</t>
  </si>
  <si>
    <t>İŞLEM TARİHİ</t>
  </si>
  <si>
    <t>FİRMA</t>
  </si>
  <si>
    <t>AÇIKLAMA</t>
  </si>
  <si>
    <t>GİDER ÇEŞİTİ</t>
  </si>
  <si>
    <t>GİDER TÜRÜ</t>
  </si>
  <si>
    <t>ÖDEME TÜRÜ</t>
  </si>
  <si>
    <t>GİRİŞ TUTARI</t>
  </si>
  <si>
    <t>ÇIKIŞ TUTARI</t>
  </si>
  <si>
    <t>AHMET DEMİRLER</t>
  </si>
  <si>
    <t>DEVİR</t>
  </si>
  <si>
    <t>GİDER</t>
  </si>
  <si>
    <t>GÜLTEN ÖRNEK</t>
  </si>
  <si>
    <t>İŞÇİLİK</t>
  </si>
  <si>
    <t>GIDA VE YEMEK GİDERİ</t>
  </si>
  <si>
    <t>NAKİT</t>
  </si>
  <si>
    <t>CEMAL DENİZ</t>
  </si>
  <si>
    <t>SALİH ÖRNEK</t>
  </si>
  <si>
    <t>ŞANTİYE ELEKTRİK İŞLERİ</t>
  </si>
  <si>
    <t>GENEL GİDERLER</t>
  </si>
  <si>
    <t>KREDİ KARTI</t>
  </si>
  <si>
    <t>MEDİHA ÖRNEK</t>
  </si>
  <si>
    <t>KASA AVANSI</t>
  </si>
  <si>
    <t>FATMA ÖRNEK</t>
  </si>
  <si>
    <t>KADEMEYE GENEL MALZEME</t>
  </si>
  <si>
    <t>KADEME GİDERLERİ</t>
  </si>
  <si>
    <t>SUAT ER</t>
  </si>
  <si>
    <t>GENEL GİDER</t>
  </si>
  <si>
    <t>ERDOĞAN YILMAZ</t>
  </si>
  <si>
    <t>MAKİNA</t>
  </si>
  <si>
    <t>ZEYNEP ÖRNEK</t>
  </si>
  <si>
    <t>FARUK ÇUBUKÇU</t>
  </si>
  <si>
    <t>KEMAL ALTIN</t>
  </si>
  <si>
    <t>BAKİ GÜNEŞ</t>
  </si>
  <si>
    <t>MARKET ALIŞVERİŞİ</t>
  </si>
  <si>
    <t>İBRAHİM TOSUNER</t>
  </si>
  <si>
    <t>PAZAR ALIŞVERİŞİ</t>
  </si>
  <si>
    <t>AZAMETTİN ÖRNEKOĞULLARIGİL</t>
  </si>
  <si>
    <t>EKMEK</t>
  </si>
  <si>
    <t>HALİL NURİ ÖRNEK</t>
  </si>
  <si>
    <t>ET - KIYMA</t>
  </si>
  <si>
    <t>ŞANTİYEYE KETÇAP MAYONEZ</t>
  </si>
  <si>
    <t>BİBER TURŞUSU</t>
  </si>
  <si>
    <t>DOBLO TAMİR İŞCİLİĞİ</t>
  </si>
  <si>
    <t>FİAT DOBLO</t>
  </si>
  <si>
    <t>İBRAHİM TOSUN</t>
  </si>
  <si>
    <t>DOBLO PARÇA</t>
  </si>
  <si>
    <t>MANTAR - ŞEKER</t>
  </si>
  <si>
    <t>MALZEME NAKLİYESİ</t>
  </si>
  <si>
    <t>TATA FREN BALATASI</t>
  </si>
  <si>
    <t>TATA PİKAP</t>
  </si>
  <si>
    <t>DOBLO YIKAMA</t>
  </si>
  <si>
    <t>AVANS</t>
  </si>
  <si>
    <t>PERSONEL</t>
  </si>
  <si>
    <t>KENAN KARATAŞOĞLU</t>
  </si>
  <si>
    <t>SÜT ÜRÜNLERİ</t>
  </si>
  <si>
    <t>K-8 PİSTON KAYNAĞI</t>
  </si>
  <si>
    <t>KAMYON 8</t>
  </si>
  <si>
    <t>SUMITOMO BORU KAYNAĞI</t>
  </si>
  <si>
    <t>SUMITOMO 300</t>
  </si>
  <si>
    <t>TANKER ARKA FREN SİLİNDİRİ</t>
  </si>
  <si>
    <t>PLAKALI MAZOT TANKERİ</t>
  </si>
  <si>
    <t>TANKER FAR ROLESİ</t>
  </si>
  <si>
    <t>TAMİRCİLERE GÖZ DAMLASI</t>
  </si>
  <si>
    <t>BETONCULARA ÇİVİ ALIMI</t>
  </si>
  <si>
    <t>BETONCU / DEMİRCİ GİDERLERİ</t>
  </si>
  <si>
    <t>DOBLO KARTER MUHAFAZASI</t>
  </si>
  <si>
    <t>TAVUK-LİMONSUYU</t>
  </si>
  <si>
    <t>TANER KESKİNCE</t>
  </si>
  <si>
    <t>MESUT DOĞAN</t>
  </si>
  <si>
    <t>DAVUT SAVAŞ</t>
  </si>
  <si>
    <t>KOMATSU 400 ŞİM</t>
  </si>
  <si>
    <t>KOMATSU 400</t>
  </si>
  <si>
    <t>KAWASAKİ90 LASTİK TAMİRİ</t>
  </si>
  <si>
    <t>KAWASAKİ 90</t>
  </si>
  <si>
    <t>CAT 365B RULMA</t>
  </si>
  <si>
    <t>CAT 365B</t>
  </si>
  <si>
    <t>TATA PASPAS</t>
  </si>
  <si>
    <t>OKSİJEN TÜPÜ</t>
  </si>
  <si>
    <t>EV KİRASI -TÜP</t>
  </si>
  <si>
    <t>KURU GIDA</t>
  </si>
  <si>
    <t>K-8 DAMPER HORTUMU</t>
  </si>
  <si>
    <t>MUTFAK ALIŞVERİŞİ</t>
  </si>
  <si>
    <t>GENEL LASTİK TAMİRLERİ</t>
  </si>
  <si>
    <t>ELEKTRİK FATURASI</t>
  </si>
  <si>
    <t>ELEKTİRİK VE SU GİDERLERİ</t>
  </si>
  <si>
    <t>KLİMA BAKIMLARI</t>
  </si>
  <si>
    <t>5 ADET SU BİDONU</t>
  </si>
  <si>
    <t>KAMYONUN EZDİĞİ KOYUN</t>
  </si>
  <si>
    <t>HARCIRAH</t>
  </si>
  <si>
    <t>KETÇAP-MAYONEZ</t>
  </si>
  <si>
    <t>JCB YOL KAZISI KİRASI</t>
  </si>
  <si>
    <t>TEMİZLİK BEDELİ</t>
  </si>
  <si>
    <t>LEYİM MAKİNASI VE TELİ</t>
  </si>
  <si>
    <t>2 ADET SU ISITICISI</t>
  </si>
  <si>
    <t>ÇİVİ VE TEL</t>
  </si>
  <si>
    <t>DOBLO MAZOT</t>
  </si>
  <si>
    <t>BİNEK ARAÇ YAKIT GİDERİ</t>
  </si>
  <si>
    <t>TANKER MARŞ DİNAMOSU</t>
  </si>
  <si>
    <t>PLAKASIZ MAZOT TANKERİ</t>
  </si>
  <si>
    <t>OKSİJEN KESİCİ TABANCA</t>
  </si>
  <si>
    <t>MAGİRUS FREN MERKEZİ</t>
  </si>
  <si>
    <t>MAGİRUS DOLMUŞ</t>
  </si>
  <si>
    <t>MAGİRUS FREN MERKEZİ TORNA İŞCİLİĞİ</t>
  </si>
  <si>
    <t>DOBLOYA ANTİFİRİZ</t>
  </si>
  <si>
    <t>TATA İÇİN HGS DOLUMU</t>
  </si>
  <si>
    <t>BORU CONTASI</t>
  </si>
  <si>
    <t>PARA ZARFI</t>
  </si>
  <si>
    <t>ÇAY MAKİNASI</t>
  </si>
  <si>
    <t>TATA TAMİR BAKIM</t>
  </si>
  <si>
    <t>MAAŞ FARKI</t>
  </si>
  <si>
    <t>MAAŞ GİDERİ</t>
  </si>
  <si>
    <t>NECATİ BEY</t>
  </si>
  <si>
    <t>TANERE ZİYARET BAKLAVASI</t>
  </si>
  <si>
    <t>ÖĞLEN YEMEĞİ</t>
  </si>
  <si>
    <t>SU MOTORUNA HORTUM</t>
  </si>
  <si>
    <t>KADEMEYE UFAK TÜP</t>
  </si>
  <si>
    <t>ELDİVEN - AYAKKABI</t>
  </si>
  <si>
    <t>TAVUK</t>
  </si>
  <si>
    <t>ATF YAĞ</t>
  </si>
  <si>
    <t>PARÇA BEZ</t>
  </si>
  <si>
    <t>K-8 ŞİM</t>
  </si>
  <si>
    <t>KURBAN</t>
  </si>
  <si>
    <t>KARGO GÖNDERİM BEDELİ</t>
  </si>
  <si>
    <t>NAKLİYE GİDERİ</t>
  </si>
  <si>
    <t>SU</t>
  </si>
  <si>
    <t>MUTFAK TÜPÜ - SOBA</t>
  </si>
  <si>
    <t xml:space="preserve">1 AD. OKSJEN TÜPÜ,2 ADET GRESS POMPASI ,1 KOVA GRESS,İÇ LASTİK </t>
  </si>
  <si>
    <t>TATA MAZOT</t>
  </si>
  <si>
    <t>BİNEK ARAÇ GİDERLERİ</t>
  </si>
  <si>
    <t>DOBLO DEBRİYAJ SETİ, AKİS RULMANI DEĞİŞTİ</t>
  </si>
  <si>
    <t>TATA YAĞ-FİLTRE DEĞİŞİMİ</t>
  </si>
  <si>
    <t>AYKUTHAN BUDAK</t>
  </si>
  <si>
    <t>DEVRİLEN ZEYTN AGAÇLARI İÇİN</t>
  </si>
  <si>
    <t>ÇİVİ</t>
  </si>
  <si>
    <t>ÇIKIŞDA MAAŞ ÖDEMESİ</t>
  </si>
  <si>
    <t>YUNUS EMRE BİRGİN</t>
  </si>
  <si>
    <t>DERE İÇİN BETON DÖKÜMÜNE NAYLON</t>
  </si>
  <si>
    <t>TANER KESKİNCEYE ALIŞVERİŞ</t>
  </si>
  <si>
    <t>K-8 MAKAS PARÇALARI</t>
  </si>
  <si>
    <t>CARİ</t>
  </si>
  <si>
    <t>DOBLO BALANS AYARI</t>
  </si>
  <si>
    <t>3 ADET KAZMA DEĞİŞTİ</t>
  </si>
  <si>
    <t>1 TENEKE MOBİL 10 HİDROLİK YAĞ</t>
  </si>
  <si>
    <t>VOLVO 290</t>
  </si>
  <si>
    <t>1 TENEKE TELLUS 46 HİDROLİK YAĞ</t>
  </si>
  <si>
    <t>K-12 HAVA FİLTRESİ YATAĞI</t>
  </si>
  <si>
    <t>KAMYON 12</t>
  </si>
  <si>
    <t>KAWASAKİ 90 LASTİK</t>
  </si>
  <si>
    <t>SODA</t>
  </si>
  <si>
    <t>TORNA</t>
  </si>
  <si>
    <t>EKMEK VE YUFKA</t>
  </si>
  <si>
    <t>YOL PARASI</t>
  </si>
  <si>
    <t>YOL VE KARGO GİDERİ</t>
  </si>
  <si>
    <t>KOLA VE FANTA</t>
  </si>
  <si>
    <t>RADYATÖR ALINDI</t>
  </si>
  <si>
    <t>DOBLO FREN BALATASI</t>
  </si>
  <si>
    <t>ANTİFİRİZ</t>
  </si>
  <si>
    <t>MAZOT</t>
  </si>
  <si>
    <t>1,5 TENEKE MOBİL HİDROLİK YAĞ</t>
  </si>
  <si>
    <t>HORTUM</t>
  </si>
  <si>
    <t>CİVATA</t>
  </si>
  <si>
    <t>AKİS TORNA İŞÇİLİĞİ</t>
  </si>
  <si>
    <t>2 ADET FAN</t>
  </si>
  <si>
    <t>MOTOR TAKOZU 1 ADET</t>
  </si>
  <si>
    <t>SAĞ ÖN İKİ KAT MAKAS , 2 ADET ÖN MAKAS BAĞLANTISI,</t>
  </si>
  <si>
    <t>4 ADET MAKAS KULAĞI , 1ADET GÖBEK SAPLAMASI , 2 ADET MAKAS BAĞLANTISI , 4 ADET MAKAS DAYAMA</t>
  </si>
  <si>
    <t>5 LT 50 NUMARA YAĞ</t>
  </si>
  <si>
    <t>8 LT 10*40 MOTOR YAĞI</t>
  </si>
  <si>
    <t>1 TK ARKA KAPAK PİSTONU TAMİR TAKIMI</t>
  </si>
  <si>
    <t>KAMYON 11</t>
  </si>
  <si>
    <t>12 LT 10*40 MOTOR YAĞI , 1 ADET HAVA FİLTRESİ , 3 ADET ÖN BİJON , 1 ADET DİREKSİYON BASINÇ BORUSU , 1 LT ATF YAĞ,5 LT DAMPER YAĞI</t>
  </si>
  <si>
    <t>KAMYON 9</t>
  </si>
  <si>
    <t>10 LT 10*40 MOTOR YAĞI , 1 ADET AVA FİLTRESİ , 1 ADET ATF YAĞ,1 ADET DİREKSİYON FİLTRESİ</t>
  </si>
  <si>
    <t>İPLİ TEFLON BANT</t>
  </si>
  <si>
    <t>KASA</t>
  </si>
  <si>
    <t>PTT ELEKTRİK FT ÖDEMESİ</t>
  </si>
  <si>
    <t xml:space="preserve">MUHTELİF OTO ELEKTİRİK İŞLERİ </t>
  </si>
  <si>
    <t>MESAİYE KALANLARA EKMEK</t>
  </si>
  <si>
    <t>MESAİYE KALANLARA KOLA</t>
  </si>
  <si>
    <t>8 LT MOBİL 10 HİDROLİK</t>
  </si>
  <si>
    <t>OSMAN SAVAŞ</t>
  </si>
  <si>
    <t>YAKIT GİDER</t>
  </si>
  <si>
    <t>ŞANTİYEYE YUMURTA</t>
  </si>
  <si>
    <t>KAWASAKİ 90 2 LT 15W-40 MOTOR YAĞI, 1 TENEKE MOBİL 10 HİDROLİK</t>
  </si>
  <si>
    <t>YEDEK PARÇA KARGO BEDELİ</t>
  </si>
  <si>
    <t>DOBLO HGS DOLUMU</t>
  </si>
  <si>
    <t>KAMYONLARIN ÇİĞNEDİĞİ TARLA İÇİN</t>
  </si>
  <si>
    <t>K-8 TORNA İŞCİLİĞİ</t>
  </si>
  <si>
    <t>CAT 330 BURÇ TONASI</t>
  </si>
  <si>
    <t>CAT 330</t>
  </si>
  <si>
    <t>1 TENEKE TELLUS 46 HİDROLİK</t>
  </si>
  <si>
    <t>1,5 TENEKE MOBİL 10 HİDROLİK</t>
  </si>
  <si>
    <t>YARIM TENEKE MOBİL 10 HİDROLİK</t>
  </si>
  <si>
    <t>CAT 365 C-2</t>
  </si>
  <si>
    <t>35 LT 15W-40 MAZOT, HİDROLİK, HİDROLİK TANK İÇİ, HAVA FİLTRELERİ DEĞİŞTİRİLDİ, RADYATÖR ALT BORUSU</t>
  </si>
  <si>
    <t>5 LT K-9 DAMPER YAĞI</t>
  </si>
  <si>
    <t>İSTİKAMET</t>
  </si>
  <si>
    <t>8 LT 10W-40 MOTOR YAĞI K-9"</t>
  </si>
  <si>
    <t>BMC SİLİNDİR KAPAĞI TAŞLAMA, CONTA TAKIMLARI, 6 LT 15W-40 MOTOR YAĞI</t>
  </si>
  <si>
    <t>BMC PİKAP</t>
  </si>
  <si>
    <t>İSTİKAMET CİVATA ÇIKARTMA</t>
  </si>
  <si>
    <t>CAT 953 LOADER</t>
  </si>
  <si>
    <t>DSİ İSHAK BEYE VERİLDİ</t>
  </si>
  <si>
    <t>KOÇARLI ELEKTRİK/SU ÖDEMESİ İÇİN AKTARILDI</t>
  </si>
  <si>
    <t xml:space="preserve">PERSONELE AVANS </t>
  </si>
  <si>
    <t>ET-KIYMA</t>
  </si>
  <si>
    <t>2,5 TENEKE TELLUS 46 HİDROLİK</t>
  </si>
  <si>
    <t>6 TENEKE TELLUS 46 HİDROLİK</t>
  </si>
  <si>
    <t>KOARLIDA PERSONELE VERDİĞİ</t>
  </si>
  <si>
    <t>KOÇARLI KENANA BIRAKILDI</t>
  </si>
  <si>
    <t>KOÇARLI ŞANTİYE</t>
  </si>
  <si>
    <t>TOPKON GR5 TAMİRE GÖNDERME KARGO BEDELİ</t>
  </si>
  <si>
    <t>İSHAK BEYE VERİLDİ</t>
  </si>
  <si>
    <t>İSMAİL BEY KONAKLAMA</t>
  </si>
  <si>
    <t>KONAKLAMA GİDERİ</t>
  </si>
  <si>
    <t>1 ADET İŞ AYAKKABISI</t>
  </si>
  <si>
    <t>DSİ İÇİN ET</t>
  </si>
  <si>
    <t>ŞANTİYEYE İÇECEK</t>
  </si>
  <si>
    <t>ŞANTİEYEY TAVUK</t>
  </si>
  <si>
    <t>MAAŞ DAĞITILMASI</t>
  </si>
  <si>
    <t>Date</t>
  </si>
  <si>
    <t>Open</t>
  </si>
  <si>
    <t>High</t>
  </si>
  <si>
    <t>Low</t>
  </si>
  <si>
    <t>Close</t>
  </si>
  <si>
    <t>Adj Close</t>
  </si>
  <si>
    <t>Volume</t>
  </si>
  <si>
    <t>ANLAŞMALI UZMAN HEKİM LİSTESİ</t>
  </si>
  <si>
    <t>HEKİM ADI</t>
  </si>
  <si>
    <t>UZMANLIK DALI</t>
  </si>
  <si>
    <t>TEL</t>
  </si>
  <si>
    <t>GSM</t>
  </si>
  <si>
    <t>ADRES</t>
  </si>
  <si>
    <t>SEMT</t>
  </si>
  <si>
    <t>İLÇE</t>
  </si>
  <si>
    <t>Prof. Dr. Aytekin Altıntaş</t>
  </si>
  <si>
    <t>Kadın Hastalıkları ve Doğum</t>
  </si>
  <si>
    <t>322 459 06 52</t>
  </si>
  <si>
    <t>532 262 73 61</t>
  </si>
  <si>
    <t>Çınarlı Mah. Atatürk C. No:29</t>
  </si>
  <si>
    <t>Seyhan</t>
  </si>
  <si>
    <t>Adana</t>
  </si>
  <si>
    <t>Prof. Dr. Mehmet Karataş</t>
  </si>
  <si>
    <t>Cilt Hastalıkları</t>
  </si>
  <si>
    <t xml:space="preserve">322 225 81 80                                   </t>
  </si>
  <si>
    <t xml:space="preserve">507 922 69 44                                   </t>
  </si>
  <si>
    <t>Kurtuluş Mah. Cumhuriyet Cad. MNS Plaza A Blok No:50 D:32</t>
  </si>
  <si>
    <t>Prof. Dr. Mehmet Satar</t>
  </si>
  <si>
    <t>Çocuk Sağlığı ve Hastalıkları</t>
  </si>
  <si>
    <t>322 458 44 98</t>
  </si>
  <si>
    <t>Reşatbey M.Gazipaşa Blv. 22. S. No:17/4</t>
  </si>
  <si>
    <t xml:space="preserve">Prof. Dr. Ömer Alabaz </t>
  </si>
  <si>
    <t>Genel Cerrahi</t>
  </si>
  <si>
    <t xml:space="preserve">322 458 46 46                                   </t>
  </si>
  <si>
    <t xml:space="preserve">532 738 80 50                                   </t>
  </si>
  <si>
    <t>Reşatbey Mah. Gazipaşa Bulvarı Dr. Nusret Fişek Cad. Kervansaray Ap. K:1 D:1</t>
  </si>
  <si>
    <t>Prof. Dr. Süleyman Cansun Demir</t>
  </si>
  <si>
    <t>322 456 23 33</t>
  </si>
  <si>
    <t>532 261 12 63</t>
  </si>
  <si>
    <t>Kurtuluş Mah. Cumhuriyet Cad. MNS Plaza A Blok No:50 K:3 D:16</t>
  </si>
  <si>
    <t xml:space="preserve">Prof. Dr. Tunay SARPEL </t>
  </si>
  <si>
    <t>Fizik Tedavi ve Rehabilitasyon</t>
  </si>
  <si>
    <t>322 457 05 03</t>
  </si>
  <si>
    <t>Cemalpaşa Mah. Gazipaşa Bulv. No:41 Yurdaer Apt. K:1 D:1</t>
  </si>
  <si>
    <t>Prof.Dr. Mustafa Mete Kıroğlu</t>
  </si>
  <si>
    <t>Kulak Burun Boğaz Hastalıkları</t>
  </si>
  <si>
    <t xml:space="preserve">322 227 70 70       </t>
  </si>
  <si>
    <t xml:space="preserve">507 484 70 70      </t>
  </si>
  <si>
    <t xml:space="preserve">Yenibaraj Mah. 68009 Sok. No:1 </t>
  </si>
  <si>
    <t>Prof.Dr.Mehmet Kanadaşı</t>
  </si>
  <si>
    <t>Kardiyoloji</t>
  </si>
  <si>
    <t xml:space="preserve">532 514 27 19                                   </t>
  </si>
  <si>
    <t xml:space="preserve">505 536 66 09                                   </t>
  </si>
  <si>
    <t xml:space="preserve">Kurtuluş Mah.Cumhuriyet Cad.  71561 MNS Plaza No:50 D:40 </t>
  </si>
  <si>
    <t>Uzm Dr.Cengiz Barslan</t>
  </si>
  <si>
    <t>Göz Hastalıkları</t>
  </si>
  <si>
    <t xml:space="preserve">322 453 18 77                                   </t>
  </si>
  <si>
    <t xml:space="preserve">533 247 51 78                                   </t>
  </si>
  <si>
    <t xml:space="preserve">Reşatbey Mah. Cumhuriyet Cad. 62002. Sok. Onlar Apt. No:34 </t>
  </si>
  <si>
    <t>Uzm Dr.Lokman Aktaş</t>
  </si>
  <si>
    <t xml:space="preserve">322 458 06 67                                   </t>
  </si>
  <si>
    <t xml:space="preserve">532 292 20 59                                   </t>
  </si>
  <si>
    <t>Uzm. Dr. Billur Gülek</t>
  </si>
  <si>
    <t>322 453 47 32</t>
  </si>
  <si>
    <t>532 274 35 52</t>
  </si>
  <si>
    <t>Kurtuluş Mah. 64019 Sok. Pakyürek İş Merkezi No:32 K:5 D:21</t>
  </si>
  <si>
    <t>Uzm. Dr. Hasan Faruk Demir</t>
  </si>
  <si>
    <t xml:space="preserve">322 453 02 99           </t>
  </si>
  <si>
    <t xml:space="preserve">532 274 36 62     </t>
  </si>
  <si>
    <t>Kurtuluş Mah. Mithat Saraçoğlu Cad. Pakyürek İş Merkezi No:31 k:5 D:19</t>
  </si>
  <si>
    <t>Uzm. Dr. Melda Bilsel</t>
  </si>
  <si>
    <t>322 457 09 08</t>
  </si>
  <si>
    <t>532 426 74 48</t>
  </si>
  <si>
    <t>Kurtuluş Mah. Mithat Saraçoğlu Cad. Pakyürek İş Merkezi No:32 D:15</t>
  </si>
  <si>
    <t>Uzm. Dr. Taner Bayramoğlu</t>
  </si>
  <si>
    <t>322 457 18 81</t>
  </si>
  <si>
    <t>532 262 45 47</t>
  </si>
  <si>
    <t>Kurtuluş Mah. Cumhuriyet Cad.MNS Plaza A Blok K:9 D:42</t>
  </si>
  <si>
    <t xml:space="preserve">Uzm.Dr. Canan Uslular </t>
  </si>
  <si>
    <t>322 453 50 50</t>
  </si>
  <si>
    <t xml:space="preserve">532 548 23 72                                   </t>
  </si>
  <si>
    <t xml:space="preserve">Kurtuluş Mah. 21. Sok.Dr.Salim Serçe Apt. K:2 D:3   </t>
  </si>
  <si>
    <t xml:space="preserve">Uzm.Dr. Ebru Ayaş </t>
  </si>
  <si>
    <t>322 459 50 84</t>
  </si>
  <si>
    <t xml:space="preserve">Reşat Bey Mh. Türkkuşu Cd Günap Plaza No:10/6 </t>
  </si>
  <si>
    <t>Uzm.Dr.Okan Dost</t>
  </si>
  <si>
    <t>Kalp ve Damar Cerrahisi</t>
  </si>
  <si>
    <t xml:space="preserve">322 888 07 07                                   </t>
  </si>
  <si>
    <t xml:space="preserve">541 714 68 44                                   </t>
  </si>
  <si>
    <t>Reşatbey Mah.Türkkuşu Cad.No:4/404</t>
  </si>
  <si>
    <t>Uzm.Dr.Suphi Eskiocak</t>
  </si>
  <si>
    <t xml:space="preserve">322 458 50 70                                   </t>
  </si>
  <si>
    <t xml:space="preserve">532 413 64 13                                   </t>
  </si>
  <si>
    <t>Cemalpaşa Mah.Gazipaşa Bulv.No:20 K:3 D:4</t>
  </si>
  <si>
    <t>Prof.Dr.Mete Baba</t>
  </si>
  <si>
    <t xml:space="preserve">322 454 44 28                                   </t>
  </si>
  <si>
    <t xml:space="preserve">545 714 33 77                                   </t>
  </si>
  <si>
    <t xml:space="preserve">Kurtuluş Mah.Cumhuriyet Cad.MNS Plaza A Blok No:50 D:25 </t>
  </si>
  <si>
    <t>Prof.Dr.Veli Nusret Özdemir</t>
  </si>
  <si>
    <t xml:space="preserve">322 458 30 40                                   </t>
  </si>
  <si>
    <t xml:space="preserve">543 693 36 47                                   </t>
  </si>
  <si>
    <t>Kurtuluş Mah.Cumhuriyet Cad.MNS Plaza A Blok No:50 D:2/105</t>
  </si>
  <si>
    <t>Uzm. Dr. Sevim Turhan</t>
  </si>
  <si>
    <t xml:space="preserve">312 435 80 25                                   </t>
  </si>
  <si>
    <t xml:space="preserve">532 673 26 06                                   </t>
  </si>
  <si>
    <t>Mithatpaşa Cad. No:28/5</t>
  </si>
  <si>
    <t xml:space="preserve"> Kızılay</t>
  </si>
  <si>
    <t>Çankaya</t>
  </si>
  <si>
    <t>Doç. Dr. Faysal Gök</t>
  </si>
  <si>
    <t xml:space="preserve">312 285 50 33                </t>
  </si>
  <si>
    <t xml:space="preserve">532 335 88 40                      </t>
  </si>
  <si>
    <t xml:space="preserve">Çukurambar Mah. 48. Cad. No:37/12 </t>
  </si>
  <si>
    <t>Doç.Dr Alev Eken</t>
  </si>
  <si>
    <t>312 468 73 66</t>
  </si>
  <si>
    <t>505 630 95 79</t>
  </si>
  <si>
    <t>Kennedy Cad. No:24/15</t>
  </si>
  <si>
    <t xml:space="preserve">Doç.Dr. Burçak Kayhan </t>
  </si>
  <si>
    <t>İç Hastalıkları-Gastroenteroloji</t>
  </si>
  <si>
    <t>312 441 46 92</t>
  </si>
  <si>
    <t xml:space="preserve">Cinnah Cad. 43/14   </t>
  </si>
  <si>
    <t xml:space="preserve">Doç.Dr. Gölge Acaroğlu </t>
  </si>
  <si>
    <t>312 467 04 42</t>
  </si>
  <si>
    <t xml:space="preserve">İran Cad. No:45/2   </t>
  </si>
  <si>
    <t>Doç.Dr.Cemil Kaya</t>
  </si>
  <si>
    <t>Kadın Hastalıkları Ve Doğum</t>
  </si>
  <si>
    <t xml:space="preserve">312 285 44 22                                   </t>
  </si>
  <si>
    <t xml:space="preserve">532 524 82 48                                   </t>
  </si>
  <si>
    <t>Kızılırmak Mah.1450 Sok.No:1/26</t>
  </si>
  <si>
    <t>Prof. Dr. Ercüment Hayri Tekin</t>
  </si>
  <si>
    <t>312 443 05 14</t>
  </si>
  <si>
    <t>532 257 67 78</t>
  </si>
  <si>
    <t xml:space="preserve">Çankaya Cad. No:10/8 </t>
  </si>
  <si>
    <t>Prof. Dr. Halis Şimşek</t>
  </si>
  <si>
    <t xml:space="preserve">312 442 37 15                                   </t>
  </si>
  <si>
    <t xml:space="preserve">507 974 38 45                                   </t>
  </si>
  <si>
    <t xml:space="preserve">Cinnah Cad. No:110/3 </t>
  </si>
  <si>
    <t xml:space="preserve">Prof. Dr. Kadri Yamaç </t>
  </si>
  <si>
    <t>İç Hastalıkları-Hematoloji</t>
  </si>
  <si>
    <t xml:space="preserve">312 426 14 18                                   </t>
  </si>
  <si>
    <t xml:space="preserve">532 202 23 55                                   </t>
  </si>
  <si>
    <t>Cinnah Cad. Göreme Sok.  No:1 K:3 D:15</t>
  </si>
  <si>
    <t>Prof. Dr. Mehmet Can Koç</t>
  </si>
  <si>
    <t>312 440 80 80</t>
  </si>
  <si>
    <t>532 424 32 96</t>
  </si>
  <si>
    <t>Kızılırmak Mah. 1437.Cad.No:9/19 Meva İş Merk.</t>
  </si>
  <si>
    <t>Prof. Dr. Musa Murat Dayaç</t>
  </si>
  <si>
    <t>Üroloji</t>
  </si>
  <si>
    <t xml:space="preserve">312 426 59 59                                   </t>
  </si>
  <si>
    <t>Remzi Oğuz Mah.Tunalı Hilmi Cad.No:90:7</t>
  </si>
  <si>
    <t xml:space="preserve">Prof. Dr. Mustafa Tezer Kutluk </t>
  </si>
  <si>
    <t>Çocuk Sağlığı ve Hastalıkları-Çocuk Onkolojisi</t>
  </si>
  <si>
    <t xml:space="preserve">312 469 04 69                                   </t>
  </si>
  <si>
    <t xml:space="preserve">532 272 81 23                                   </t>
  </si>
  <si>
    <t xml:space="preserve">Gaziosmanpaşa İran Cad. No:47/2 </t>
  </si>
  <si>
    <t>Prof. Dr. Ömer Kutay Biberoğlu</t>
  </si>
  <si>
    <t xml:space="preserve">312 427 71 81                                   </t>
  </si>
  <si>
    <t xml:space="preserve">532 331 94 04                                   </t>
  </si>
  <si>
    <t>Gaziosmanpaşa Mah. John F.Kennedy Caddesi No:148</t>
  </si>
  <si>
    <t xml:space="preserve">Prof. Dr. Özgür Deren </t>
  </si>
  <si>
    <t xml:space="preserve">312 442 02 26                                   </t>
  </si>
  <si>
    <t xml:space="preserve">532 727 23 98                                   </t>
  </si>
  <si>
    <t xml:space="preserve">Cinnah Cad. No:64/4 </t>
  </si>
  <si>
    <t xml:space="preserve">Prof. Dr.Salim Çağatay Çifter </t>
  </si>
  <si>
    <t xml:space="preserve">312 428 94 44                                   </t>
  </si>
  <si>
    <t xml:space="preserve">532 354 05 03                                   </t>
  </si>
  <si>
    <t xml:space="preserve">Barbaros Mah. Büyükelçi Sok. No:12/11 </t>
  </si>
  <si>
    <t>Prof.Dr Bülent Berker</t>
  </si>
  <si>
    <t>312 285 20 21</t>
  </si>
  <si>
    <t>542 712 43 52</t>
  </si>
  <si>
    <t>Çukurambar Mah.1425.Cad. Ulusoy  Plaza No:9/59-8 - 0</t>
  </si>
  <si>
    <t>Prof.Dr Sinan Adıyaman</t>
  </si>
  <si>
    <t>Ortopedi Ve Travmatoloji</t>
  </si>
  <si>
    <t>312 428 71 71</t>
  </si>
  <si>
    <t>532 275 23 73</t>
  </si>
  <si>
    <t>Barbaros Mah.Güniz Sok. No:48/3</t>
  </si>
  <si>
    <t xml:space="preserve">Prof.Dr. İzzet Çağlayan Özdemir </t>
  </si>
  <si>
    <t xml:space="preserve">Endokrinoloji </t>
  </si>
  <si>
    <t>312 417 65 56</t>
  </si>
  <si>
    <t xml:space="preserve">Meşrutiyet Cad.10/14   </t>
  </si>
  <si>
    <t xml:space="preserve">Prof.Dr. Kenan Yılmaz Ömürlü </t>
  </si>
  <si>
    <t>312 467 01 13</t>
  </si>
  <si>
    <t xml:space="preserve">İran Cad. 13/14   </t>
  </si>
  <si>
    <t xml:space="preserve">Prof.Dr. Mehmet Yaşar Bedük </t>
  </si>
  <si>
    <t>532 432 77 40</t>
  </si>
  <si>
    <t xml:space="preserve">İran Cad. No:15/16   </t>
  </si>
  <si>
    <t xml:space="preserve">Prof.Dr. Osman Şener </t>
  </si>
  <si>
    <t>İç Hastalıkları</t>
  </si>
  <si>
    <t>3124304015</t>
  </si>
  <si>
    <t xml:space="preserve">Mithatpaşa Cad. Apak İşha Nı No:26/36 </t>
  </si>
  <si>
    <t>Prof.Dr.Lütfi Esat Üstün Orhon</t>
  </si>
  <si>
    <t xml:space="preserve">312 447 56 05                                   </t>
  </si>
  <si>
    <t xml:space="preserve">533 659 76 27                                   </t>
  </si>
  <si>
    <t>Çankaya Mah.Uğur Mumcu Cad.No:87 D:12</t>
  </si>
  <si>
    <t xml:space="preserve">Prof.Dr.Mehmet Ungan </t>
  </si>
  <si>
    <t>Aile Hekimliği</t>
  </si>
  <si>
    <t>312 468 95 41</t>
  </si>
  <si>
    <t xml:space="preserve">Atatürk Bulv. No:237/45   </t>
  </si>
  <si>
    <t>Uzm. Dr. Belgin Polat</t>
  </si>
  <si>
    <t>312 427 89 89</t>
  </si>
  <si>
    <t>555 234 55 00</t>
  </si>
  <si>
    <t xml:space="preserve">Mustafa Kemal Mah. Dumlupınar Bulv.Tepe Prime İş Mer. B Blok No:266/18 </t>
  </si>
  <si>
    <t>Uzm. Dr. Meltem Erhan</t>
  </si>
  <si>
    <t xml:space="preserve">312 467 10 37                  -468 83 94                 </t>
  </si>
  <si>
    <t>Kavaklıdere Mah.Tunalı Hilmi Cad.Bestekar Sok.No:76/9</t>
  </si>
  <si>
    <t xml:space="preserve">Uzm. Dr. Şadan Deniz Sir  </t>
  </si>
  <si>
    <t xml:space="preserve">312 466 62 92                      </t>
  </si>
  <si>
    <t xml:space="preserve">532 569 27 42      </t>
  </si>
  <si>
    <t xml:space="preserve">Tunalı Hilmi Cad. No:94/5 </t>
  </si>
  <si>
    <t>Uzm. Dr. Şale Yılmaz</t>
  </si>
  <si>
    <t xml:space="preserve">312 428 01 60   </t>
  </si>
  <si>
    <t xml:space="preserve">505 378 43 14     </t>
  </si>
  <si>
    <t xml:space="preserve">Tunalı Hilmi Cad. No: 67/19 </t>
  </si>
  <si>
    <t>Uzm.Dr Selahattin Kükner</t>
  </si>
  <si>
    <t xml:space="preserve">312 466 26 60                                   </t>
  </si>
  <si>
    <t>Kavaklıdere Mah.Tunus Cad.No:50 D:A/7</t>
  </si>
  <si>
    <t xml:space="preserve">Uzm.Dr. Nihat Özkan </t>
  </si>
  <si>
    <t>312 229 29 30</t>
  </si>
  <si>
    <t xml:space="preserve">Necatibey Cad.13/3 Kat:2   </t>
  </si>
  <si>
    <t>Uzm.Dr.Ahmet Bostancı</t>
  </si>
  <si>
    <t>312 268 38 38</t>
  </si>
  <si>
    <t xml:space="preserve">532 276 41 29                                   </t>
  </si>
  <si>
    <t xml:space="preserve">Mustafa Kemal Mah.Dumlupınar Bulv.9.km Tepe Prime </t>
  </si>
  <si>
    <t>Uzm.Dr.Cem Hasan Razi</t>
  </si>
  <si>
    <t xml:space="preserve">312 427 06 66                             </t>
  </si>
  <si>
    <t>533 371 90 26</t>
  </si>
  <si>
    <t>Barbaros Mah. Tunalı Hilmi Cad.No:123/C</t>
  </si>
  <si>
    <t>Uzm.Dr.Esra Ayşin Tonguç</t>
  </si>
  <si>
    <t xml:space="preserve">312 426 64 53                                   </t>
  </si>
  <si>
    <t xml:space="preserve">532 414 48 89                                   </t>
  </si>
  <si>
    <t>Barbaros Mah.Tunalı Hilmi Cad.Binnaz Sok.No:1/5</t>
  </si>
  <si>
    <t xml:space="preserve">Uzm.Dr.Handan Ungan </t>
  </si>
  <si>
    <t>535 222 00 53</t>
  </si>
  <si>
    <t xml:space="preserve">Atatürk Bulv. No:237/44   </t>
  </si>
  <si>
    <t>Uzm.Dr.Hasan Biri</t>
  </si>
  <si>
    <t xml:space="preserve">312 438 83 83                                   </t>
  </si>
  <si>
    <t xml:space="preserve">533 642 65 58                                   </t>
  </si>
  <si>
    <t>Kızılırmak Mah. 1450. Sok. No:13 Çukurambar Koru Hastanesi</t>
  </si>
  <si>
    <t xml:space="preserve">Uzm.Dr.Mahmut Ercüment Cengiz </t>
  </si>
  <si>
    <t>312 467 39 48</t>
  </si>
  <si>
    <t xml:space="preserve">Tunalı Hilmi Cad. Barbaros Mah. No:121/6  </t>
  </si>
  <si>
    <t>Uzm.Dr.Uzay Yıldırım</t>
  </si>
  <si>
    <t xml:space="preserve">312 210 01 51                                   </t>
  </si>
  <si>
    <t xml:space="preserve">532 314 52 19                                   </t>
  </si>
  <si>
    <t>Çukurambar Mah.Muhsin Yazıcıoğlu Cad.No:8</t>
  </si>
  <si>
    <t xml:space="preserve">Uzm.Dr. A.Şükrü Taner </t>
  </si>
  <si>
    <t>312 418 61 61</t>
  </si>
  <si>
    <t xml:space="preserve">Tunalı Hilmi Cad. No:59/3  2432. Cadde No:35 Ümitk   </t>
  </si>
  <si>
    <t xml:space="preserve">Uzm.Dr. Zerrin Ateş </t>
  </si>
  <si>
    <t>312 427 83 81</t>
  </si>
  <si>
    <t xml:space="preserve">Tunus Cad. No:48/5  </t>
  </si>
  <si>
    <t>Uzm.Dr.Cüneyt Genç</t>
  </si>
  <si>
    <t xml:space="preserve">312 286 33 03                                   </t>
  </si>
  <si>
    <t xml:space="preserve">532 526 14 75                                   </t>
  </si>
  <si>
    <t>Çukurambar Mah.Muhsin Yazıcıoğlu Cad.No:8/18 D:5</t>
  </si>
  <si>
    <t>Prof.Dr Haldun Oğuz</t>
  </si>
  <si>
    <t xml:space="preserve">312 284 28 88                                   </t>
  </si>
  <si>
    <t xml:space="preserve">531 431 06 94                                   </t>
  </si>
  <si>
    <t>Kızılırmak Mah.1450. Sok.Hekim Center No:9-59 D:17</t>
  </si>
  <si>
    <t>Uzm.Dr.Taner Çavumirza</t>
  </si>
  <si>
    <t xml:space="preserve">546 218 72 07                                   </t>
  </si>
  <si>
    <t xml:space="preserve">505 236 77 98                                   </t>
  </si>
  <si>
    <t xml:space="preserve">Gaziosmanpaşa Mah.John Fitzgerald Kennedy Cad.No:150 D:4 </t>
  </si>
  <si>
    <t>Prof.Dr.Ömer Selçuk Palaoğlu</t>
  </si>
  <si>
    <t>Beyin ve Sinir Cerrahi</t>
  </si>
  <si>
    <t xml:space="preserve">312 441 93 93                                   </t>
  </si>
  <si>
    <t xml:space="preserve">533 707 41 78                                   </t>
  </si>
  <si>
    <t xml:space="preserve">Aziziye Mah.Cinnah Cad. Hava Sok.No:2 D:3 </t>
  </si>
  <si>
    <t>Uzm. Dr. Tolga Ecemiş</t>
  </si>
  <si>
    <t xml:space="preserve">312 418 66 67                                   </t>
  </si>
  <si>
    <t xml:space="preserve">507 399 61 12                                   </t>
  </si>
  <si>
    <t xml:space="preserve">Çukurambar Mah. 1480. Sokak Besa Kule No:41/A </t>
  </si>
  <si>
    <t>Uzm.Dr.Hüsetin Çimen</t>
  </si>
  <si>
    <t>312 220 25 11</t>
  </si>
  <si>
    <t>533 743 39 11</t>
  </si>
  <si>
    <t>Çukurambar Mah.Ufuk Ün.Cad.No:24/2</t>
  </si>
  <si>
    <t>Doç.Dr.Hakan Yusuf Selek</t>
  </si>
  <si>
    <t>312 285 80 83</t>
  </si>
  <si>
    <t xml:space="preserve">530 285 95 35 </t>
  </si>
  <si>
    <t>Kızılırmak Mah. 1450. Sokak Ulusoy Plaza No:9 D:13</t>
  </si>
  <si>
    <t>Çukurambar</t>
  </si>
  <si>
    <t>Prof.Dr.Abdullah Erkan Trahan</t>
  </si>
  <si>
    <t xml:space="preserve">312 284 19 20                                   </t>
  </si>
  <si>
    <t xml:space="preserve">532 387 12 25                                   </t>
  </si>
  <si>
    <t>Kızılırmak Mah.1450 Sok.No:3 D:15</t>
  </si>
  <si>
    <t>Uzm.Dr.Yelda Mumcu</t>
  </si>
  <si>
    <t xml:space="preserve">312 286 21 11                                   </t>
  </si>
  <si>
    <t xml:space="preserve">532 425 80 42                                   </t>
  </si>
  <si>
    <t>Kızılırmak Mah.1450 Sok..Ankara Tic. Merk.B Blok D:21</t>
  </si>
  <si>
    <t>Doç.Dr.Deniz Ulaş</t>
  </si>
  <si>
    <t>312 285 85 88</t>
  </si>
  <si>
    <t>533 248 43 99</t>
  </si>
  <si>
    <t>Kızılırmak Mah.1450.Sok.Ankara Tic.Merk.B Blok No:4</t>
  </si>
  <si>
    <t>Doç. Dr. Cihangir Çakıcı</t>
  </si>
  <si>
    <t>312 467 68 68</t>
  </si>
  <si>
    <t>532 237 09 79</t>
  </si>
  <si>
    <t>Eskişehir Yolu Tepe Prime A Blok K:3 No:39/40</t>
  </si>
  <si>
    <t>Kavaklıdere</t>
  </si>
  <si>
    <t>Doç. Dr. Koray Budak</t>
  </si>
  <si>
    <t>312 468 48 38</t>
  </si>
  <si>
    <t>532 609 20 30</t>
  </si>
  <si>
    <t>Özel Budak Göz Hastalıkları Merkezi Tunalı Hilmi C. No:82/B D:4</t>
  </si>
  <si>
    <t>Doç. Dr. Lale Dönderici</t>
  </si>
  <si>
    <t>312 426 56 90</t>
  </si>
  <si>
    <t>532 727 36 25</t>
  </si>
  <si>
    <t>DERM-ART Tunalı Hilmi C.  No: 92/7</t>
  </si>
  <si>
    <t>Doç. Dr. Rana Karayalçın</t>
  </si>
  <si>
    <t xml:space="preserve">312 468 67 65           </t>
  </si>
  <si>
    <t xml:space="preserve">532 392 74 47 </t>
  </si>
  <si>
    <t>Tunus Cad. No:61/7</t>
  </si>
  <si>
    <t>Doç.Dr. Ömer Ferit Saraçoğlu</t>
  </si>
  <si>
    <t xml:space="preserve">312 435 45 94                               </t>
  </si>
  <si>
    <t xml:space="preserve">532 100 04 14                                   </t>
  </si>
  <si>
    <t xml:space="preserve">Çankaya Mah. Cinnah Caddesi No:37/5 </t>
  </si>
  <si>
    <t>Prof. Dr. Ahmet Görgül</t>
  </si>
  <si>
    <t>312 426 14 45</t>
  </si>
  <si>
    <t>532 344 58 57</t>
  </si>
  <si>
    <t>Cinnah Cad. Nazmi Bey İşhanı No:1 K:3 D:16</t>
  </si>
  <si>
    <t>Prof. Dr. Selahattin Ünal</t>
  </si>
  <si>
    <t>312 468 36 09</t>
  </si>
  <si>
    <t>530 435 76 56</t>
  </si>
  <si>
    <t>Kennedy C. No:24/11</t>
  </si>
  <si>
    <t>Prof. Dr. Ufuk Demirkılıç</t>
  </si>
  <si>
    <t xml:space="preserve">312 466 45 72                                   </t>
  </si>
  <si>
    <t xml:space="preserve">532 441 18 44                                   </t>
  </si>
  <si>
    <t>Remzi Oğuz Mah.J.F.Kenedy Cad.No:90:7</t>
  </si>
  <si>
    <t>Prof.Dr  Süleyman Sabri Uslu</t>
  </si>
  <si>
    <t xml:space="preserve">312 465 05 55                                   </t>
  </si>
  <si>
    <t xml:space="preserve">532 265 98 89                                   </t>
  </si>
  <si>
    <t>Büyükelçi  Sok.  No:12 D:9 K:3</t>
  </si>
  <si>
    <t>Prof.Dr.Dursun Kadir Bahar</t>
  </si>
  <si>
    <t>312 426 30 35</t>
  </si>
  <si>
    <t>532 727 90 64</t>
  </si>
  <si>
    <t>Tahran Cad. No:3/4</t>
  </si>
  <si>
    <t>Uzm. Dr. Bülent Özkan</t>
  </si>
  <si>
    <t>312 427 05 85</t>
  </si>
  <si>
    <t>542 414 33 77</t>
  </si>
  <si>
    <t>Tunalı Hilmi C. No:110/16</t>
  </si>
  <si>
    <t>Uzm. Dr. Deniz Utku Solak</t>
  </si>
  <si>
    <t>555 218 38 24</t>
  </si>
  <si>
    <t>Uzm. Dr. Ferda Çakıcı</t>
  </si>
  <si>
    <t>Uzm. Dr. Mustafa Kahraman</t>
  </si>
  <si>
    <t>312 426 98 21</t>
  </si>
  <si>
    <t>532 665 19 02</t>
  </si>
  <si>
    <t>Tunalı Hilmi C. No:60/8</t>
  </si>
  <si>
    <t>Uzm. Dr. Sim Peşkircioğlu</t>
  </si>
  <si>
    <t>312 428 87 57</t>
  </si>
  <si>
    <t>532 737 30 24</t>
  </si>
  <si>
    <t>Uzm.Dr.Mehmet Ayhan Kuzu</t>
  </si>
  <si>
    <t xml:space="preserve">312 467 42 24                                   </t>
  </si>
  <si>
    <t xml:space="preserve">530 283 05 45                                   </t>
  </si>
  <si>
    <t>Remzi Oğuz Arık Mah. Bestekar Sokak No:78 D:11</t>
  </si>
  <si>
    <t>Uzm.Dr.Şenol Kalyoncu</t>
  </si>
  <si>
    <t xml:space="preserve">312 427 58 88                                   </t>
  </si>
  <si>
    <t xml:space="preserve">532 246 08 44                                   </t>
  </si>
  <si>
    <t xml:space="preserve">Barbaros Mah. Tunalı Hilmi Cad. Kuğulu İş Mer. B Blok No:123 B D:163 </t>
  </si>
  <si>
    <t>Uzm.Dr.Sibel Şalvarlı</t>
  </si>
  <si>
    <t xml:space="preserve">312 425 90 30                                   </t>
  </si>
  <si>
    <t xml:space="preserve">535 851 82 92                                   </t>
  </si>
  <si>
    <t xml:space="preserve">Kavaklıdere Mah. Tunus Cad. Atatürk Bul.Atayurt İşhanı No:169 D:59 </t>
  </si>
  <si>
    <t>Doç. Dr. Murat Akın</t>
  </si>
  <si>
    <t xml:space="preserve">312 439 39 67             </t>
  </si>
  <si>
    <t xml:space="preserve">532 575 57 85                   </t>
  </si>
  <si>
    <t xml:space="preserve">Cinnah Cad. Kuloğlu Sok. No:15/3 </t>
  </si>
  <si>
    <t xml:space="preserve">Kavaklıdere  </t>
  </si>
  <si>
    <t>Uzm. Dr. Ahmet Satvet Sınav</t>
  </si>
  <si>
    <t xml:space="preserve">312 467 19 96            </t>
  </si>
  <si>
    <t xml:space="preserve">541 747 67 37  </t>
  </si>
  <si>
    <t xml:space="preserve">Tunalı Hizmi Cad. No.123/164 </t>
  </si>
  <si>
    <t>Uzm. Dr. Baha  Cemil Öcal</t>
  </si>
  <si>
    <t xml:space="preserve">312 467 19 88                    </t>
  </si>
  <si>
    <t xml:space="preserve">533 713 73 24                       </t>
  </si>
  <si>
    <t>İran Cad. No:13/17</t>
  </si>
  <si>
    <t>Uzm. Dr. İrfan Tarhan</t>
  </si>
  <si>
    <t xml:space="preserve">312 435 16 35                        </t>
  </si>
  <si>
    <t xml:space="preserve">542 423 79 31                </t>
  </si>
  <si>
    <t>Mithatpaşa Cad. No:71/7</t>
  </si>
  <si>
    <t>Kızılay</t>
  </si>
  <si>
    <t>Uzm. Dr. Nihat Akçayöz</t>
  </si>
  <si>
    <t>312 418 79 66</t>
  </si>
  <si>
    <t xml:space="preserve">532 367 23 00 </t>
  </si>
  <si>
    <t xml:space="preserve">Selanik Cad. No:28 Kat:5 Daire:16 </t>
  </si>
  <si>
    <t>Doç.Dr.Sevtap Kılıç</t>
  </si>
  <si>
    <t xml:space="preserve">312 431 61 62                                   </t>
  </si>
  <si>
    <t xml:space="preserve">532 242 51 81                                   </t>
  </si>
  <si>
    <t xml:space="preserve">Kızılırmak Mah.Ufuk Üniversitesi Cad.1445. Sok.Paragon Tower İş Merk.No:2/80 </t>
  </si>
  <si>
    <t>Tandoğan</t>
  </si>
  <si>
    <t>Prof.Dr.Ali Özdek</t>
  </si>
  <si>
    <t xml:space="preserve">312 221 22 26                                   </t>
  </si>
  <si>
    <t xml:space="preserve">530 309 27 28                                   </t>
  </si>
  <si>
    <t xml:space="preserve">Mebusevleri Mah. Anıt Cadç. Algür Apt. No: 10 D:2 </t>
  </si>
  <si>
    <t xml:space="preserve">Prof. Dr. Muammer Seyhan </t>
  </si>
  <si>
    <t xml:space="preserve">312 468 69 09                                   </t>
  </si>
  <si>
    <t xml:space="preserve">530 284 53 88                                   </t>
  </si>
  <si>
    <t xml:space="preserve">Tunalı Hilmi Cad. No:121/9 </t>
  </si>
  <si>
    <t xml:space="preserve">Çankaya </t>
  </si>
  <si>
    <t>Uzm.Dr.Ahmet Barış Gürsoy</t>
  </si>
  <si>
    <t xml:space="preserve">312 428 10 38                                   </t>
  </si>
  <si>
    <t xml:space="preserve">532 455 26 46                                   </t>
  </si>
  <si>
    <t>Çankaya Mah.Cinnah Cad.No:31/16</t>
  </si>
  <si>
    <t>Prof.Dr.Onur Karabacak</t>
  </si>
  <si>
    <t>312 468 88 66</t>
  </si>
  <si>
    <t xml:space="preserve">534 468 88 66                                   </t>
  </si>
  <si>
    <t>Tunus Cad.No:65/2</t>
  </si>
  <si>
    <t>Prof. Dr. Tansu Sipahi</t>
  </si>
  <si>
    <t>Çocuk Sağlığı ve Hastalıkları-Çocuk Hematolojisi</t>
  </si>
  <si>
    <t xml:space="preserve">312 235 19 18                                   </t>
  </si>
  <si>
    <t xml:space="preserve">505 816 14 44                                   </t>
  </si>
  <si>
    <t>Mutlukent Mah. 1952. Sok. Mutluköy Villaları No:29</t>
  </si>
  <si>
    <t>Yenimahalle</t>
  </si>
  <si>
    <t xml:space="preserve">Uzm.Dr. Pınar Ergül </t>
  </si>
  <si>
    <t>3122358882</t>
  </si>
  <si>
    <t xml:space="preserve">Çamlıca Bulvar Sitesi B Blok No:8   </t>
  </si>
  <si>
    <t>Uzm. Dr. Nihal Tanrıöğer</t>
  </si>
  <si>
    <t>242 512 48 55</t>
  </si>
  <si>
    <t>533 815 67 48</t>
  </si>
  <si>
    <t xml:space="preserve">Şekerhane Mah. Şevket Tokuş Cad. No:24/9 </t>
  </si>
  <si>
    <t>Alanya</t>
  </si>
  <si>
    <t>Uzm. Dr. Pembe Sema Kanra</t>
  </si>
  <si>
    <t>242 522 00 22</t>
  </si>
  <si>
    <t>507 602 01 01</t>
  </si>
  <si>
    <t>Sugözü Mah.1016 Sok.No:2/10</t>
  </si>
  <si>
    <t>Uzm. Dr.Ergün Parlan</t>
  </si>
  <si>
    <t xml:space="preserve">242 513 44 50                                   </t>
  </si>
  <si>
    <t xml:space="preserve">505 561 56 40                                   </t>
  </si>
  <si>
    <t>Şekerhane Mah. Halimağa Cad. Lale Tokuş Plaza No:6 D:10</t>
  </si>
  <si>
    <t>Uzm. Dr.Vural Dağlı</t>
  </si>
  <si>
    <t xml:space="preserve">542 328 98 91                                   </t>
  </si>
  <si>
    <t>Uzm.Dr.Ali Dulum</t>
  </si>
  <si>
    <t xml:space="preserve">242 511 66 65                                   </t>
  </si>
  <si>
    <t xml:space="preserve">532 138 60 75                                   </t>
  </si>
  <si>
    <t>Saray Mah.Atatürk Cad.Neslihan Sok.No:3</t>
  </si>
  <si>
    <t>Uzm. Dr. Zafer Kayacan</t>
  </si>
  <si>
    <t>242 242 80 33</t>
  </si>
  <si>
    <t>532 245 84 94</t>
  </si>
  <si>
    <t>Hızır Reis C. No:5/7</t>
  </si>
  <si>
    <t>Bahçelievler</t>
  </si>
  <si>
    <t>Pratisyen Dr.Münise Ozan</t>
  </si>
  <si>
    <t>242 836 41 41</t>
  </si>
  <si>
    <t>532 582 20 54</t>
  </si>
  <si>
    <t>Andifli Mah.İskele Geçidi Sok.No:10/A</t>
  </si>
  <si>
    <t xml:space="preserve">Kaş </t>
  </si>
  <si>
    <t>Doç.Dr.Ayla Üçkuyu</t>
  </si>
  <si>
    <t xml:space="preserve">242 228 49 12                                   </t>
  </si>
  <si>
    <t xml:space="preserve">532 575 65 52                                   </t>
  </si>
  <si>
    <t>Altınkum Mah.Atatürk Bulv.No:131 D:3</t>
  </si>
  <si>
    <t>Konyaaltı</t>
  </si>
  <si>
    <t xml:space="preserve">Prof.Dr. Mustafa Faruk Usta </t>
  </si>
  <si>
    <t xml:space="preserve">Üroloji </t>
  </si>
  <si>
    <t xml:space="preserve">242 228 20 21                                   </t>
  </si>
  <si>
    <t xml:space="preserve">533 773 30 73                                   </t>
  </si>
  <si>
    <t>Arapsuyu Mah. Atatürk Bulv. Tasarım Plaza No:71 D:9</t>
  </si>
  <si>
    <t xml:space="preserve">Uzm. Dr. Fuat Bigat </t>
  </si>
  <si>
    <t xml:space="preserve">242 228 67 77                                   </t>
  </si>
  <si>
    <t xml:space="preserve">532 256 97 94                                   </t>
  </si>
  <si>
    <t>Arapsuyu Mah. Atatürk Bulv. Gökay Plaza K:4 D:16</t>
  </si>
  <si>
    <t>Uzm. Dr. Mustafa Savan Günay</t>
  </si>
  <si>
    <t xml:space="preserve">242 290 83 24                                   </t>
  </si>
  <si>
    <t xml:space="preserve">532 233 48 60                                   </t>
  </si>
  <si>
    <t>Gürsu Mah.Atatürk Bulv.No:225/2</t>
  </si>
  <si>
    <t>Uzm.Dr.Mustafa Savan Günay</t>
  </si>
  <si>
    <t>242 290 83 24</t>
  </si>
  <si>
    <t>532 233 48 60</t>
  </si>
  <si>
    <t>Uzm.Dr.Sonay İsenlik</t>
  </si>
  <si>
    <t xml:space="preserve">242 230 44 27                                   </t>
  </si>
  <si>
    <t xml:space="preserve">505 657 91 73                                   </t>
  </si>
  <si>
    <t>Altınkum Mah.423 Sok.Atatürk Bulv.No:35/4</t>
  </si>
  <si>
    <t>Uzm.Dr.Şahsine Gül</t>
  </si>
  <si>
    <t xml:space="preserve">544 475 08 75                                   </t>
  </si>
  <si>
    <t xml:space="preserve">532 475 08 75                                   </t>
  </si>
  <si>
    <t>Arapsuyu Mah. Atatürk Bulvarı No:25 D:2</t>
  </si>
  <si>
    <t>Merkez</t>
  </si>
  <si>
    <t>Uzm.Dr.Kazım Alp Şen Şen</t>
  </si>
  <si>
    <t>242 742 06 40</t>
  </si>
  <si>
    <t>532 353 60 45</t>
  </si>
  <si>
    <t>Eski Hisar Mah.Demokrasi Bul.Öğrekçi Plaza No:73 D:1</t>
  </si>
  <si>
    <t>Manavgat</t>
  </si>
  <si>
    <t>Uzm.Dr. Süleyman Derya Karagence</t>
  </si>
  <si>
    <t xml:space="preserve">242 740 00 22                                   </t>
  </si>
  <si>
    <t xml:space="preserve">532 292 01 63                                   </t>
  </si>
  <si>
    <t>İnönü Cad.Muharrem Güneş Apt No:1</t>
  </si>
  <si>
    <t>Side</t>
  </si>
  <si>
    <t>Uzm. Dr.  Kudret İlter Güvendik</t>
  </si>
  <si>
    <t xml:space="preserve">242 243 80 79                                   </t>
  </si>
  <si>
    <t>Gynocare Sağlık Hizmetleri Konyaaltı Cad. Karabarut Apt. No:15/7</t>
  </si>
  <si>
    <t>Uzm. Dr. Ayşegül Tezcan Germen</t>
  </si>
  <si>
    <t>242 316 16 07</t>
  </si>
  <si>
    <t>532 465 87 89</t>
  </si>
  <si>
    <t>Şirinyalı M. İsmet Gökşen Cad. Tahir Apt. No:79/3 K:1</t>
  </si>
  <si>
    <t>Uzm. Dr. Bircan Karabağır</t>
  </si>
  <si>
    <t>242 316 15 51</t>
  </si>
  <si>
    <t>533 544 06 44</t>
  </si>
  <si>
    <t>Estederm Deri Hastalıkları ve Estetik Merk. Yeşilbahçe M. Metin Kasapoğlu C. No:71/8</t>
  </si>
  <si>
    <t xml:space="preserve">Uzm. Dr. Erdoğan Güler </t>
  </si>
  <si>
    <t>224 241 29 66</t>
  </si>
  <si>
    <t>532 641 59 90</t>
  </si>
  <si>
    <t xml:space="preserve">Güler Sağlık Hizmetleri 100. Yıl Cad. Varlık Mah. Bulvar Apt. No:42/4 </t>
  </si>
  <si>
    <t>Uzm. Dr. Fuat Altay</t>
  </si>
  <si>
    <t>242 313 01 18</t>
  </si>
  <si>
    <t>532 416 30 83</t>
  </si>
  <si>
    <t>Portakal Çiçeği Blv. Mehmet Kepez Sitesi B Blok No:37/5</t>
  </si>
  <si>
    <t>Uzm. Dr. Kubilay Yücel</t>
  </si>
  <si>
    <t>242 243 31 55</t>
  </si>
  <si>
    <t>532 612 91 42</t>
  </si>
  <si>
    <t>Derma Özel Sağlık Hizmetleri 100. Yıl C. No:78/7</t>
  </si>
  <si>
    <t>Uzm. Dr. Murat Akalın</t>
  </si>
  <si>
    <t>242 321 85 00</t>
  </si>
  <si>
    <t>532 312 23 27</t>
  </si>
  <si>
    <t>Perge Blv. Perge Palas Ap. No:85/12 K:2</t>
  </si>
  <si>
    <t>Uzm. Dr. Naciye Melikoğlu</t>
  </si>
  <si>
    <t>242 247 97 17</t>
  </si>
  <si>
    <t>532 618 17 18</t>
  </si>
  <si>
    <t>100. Yıl C. No:26/17</t>
  </si>
  <si>
    <t>Uzm. Dr. Orhan Akar</t>
  </si>
  <si>
    <t>242 303 18 76</t>
  </si>
  <si>
    <t>532 411 32 04</t>
  </si>
  <si>
    <t>Akar Çocuk Sağlığı ve Hast. Merk. Yeşilbahçe M. Metin Kasapoğlu C. No:33/9</t>
  </si>
  <si>
    <t>Uzm. Dr. Özlem Peçen</t>
  </si>
  <si>
    <t>242 241 50 10</t>
  </si>
  <si>
    <t>532 245 05 64</t>
  </si>
  <si>
    <t>Kışla M. Cumhuriyet C. Adalet A. No.1</t>
  </si>
  <si>
    <t xml:space="preserve">Uzm. Dr. Sevim Güler </t>
  </si>
  <si>
    <t xml:space="preserve">Uzm.Dr. Mustafa Torgaç </t>
  </si>
  <si>
    <t xml:space="preserve">242 248 07 47                             </t>
  </si>
  <si>
    <t xml:space="preserve">532 687 09 39                                   </t>
  </si>
  <si>
    <t>Muratpaşa, Varlık Mah.  Bulvar Apt. A Blok No:42 D:3</t>
  </si>
  <si>
    <t>Uzm.Dr. Gökhan Uğur</t>
  </si>
  <si>
    <t xml:space="preserve">242 321 88 00      </t>
  </si>
  <si>
    <t>Çağlayan Mah.Barınaklar Bulvarı Nazlı İş Merkezi No:4/3</t>
  </si>
  <si>
    <t>Muratpaşa</t>
  </si>
  <si>
    <t>Uzm.Dr. Mehmet Tongal</t>
  </si>
  <si>
    <t>242 321 22 00</t>
  </si>
  <si>
    <t>533 551 53 53</t>
  </si>
  <si>
    <t>Jineklinik Özel Doğa Polikliniği Yeşilbahçe Mah. Metin Kasapoğlu Cad. No:215 Kat:3 D:10</t>
  </si>
  <si>
    <t>Uzm.Dr. Neslihan S. Hazar</t>
  </si>
  <si>
    <t>242 237 62 03</t>
  </si>
  <si>
    <t>532 292 13 29</t>
  </si>
  <si>
    <t>Varlık Mah. 100. Yıl Cad.Ersazak Apt. No:86/11</t>
  </si>
  <si>
    <t>Uzm.Dr. Sibel Sürmen Usta</t>
  </si>
  <si>
    <t>242 237 63 43</t>
  </si>
  <si>
    <t>532 511 61 50</t>
  </si>
  <si>
    <t>Fener Mah.Fener Cad.Fener İş Merk.B 1 Blok No:9</t>
  </si>
  <si>
    <t xml:space="preserve">Uzm.Dr Levend Özden </t>
  </si>
  <si>
    <t xml:space="preserve">242 248 11 11                                   </t>
  </si>
  <si>
    <t>Muratpaşa Mah.Yüzüncüyıl Bul.No:55-5/6</t>
  </si>
  <si>
    <t xml:space="preserve">Uzm.Dr.Aslı Vural Sesver </t>
  </si>
  <si>
    <t>242 316 72 70</t>
  </si>
  <si>
    <t xml:space="preserve">Yeşilbahçe Mah.Metin Kasapoğlu Cd.65/6 1.Baysal Ap   </t>
  </si>
  <si>
    <t xml:space="preserve">Uzm.Dr. Ayşe Nilgün Hoşgör </t>
  </si>
  <si>
    <t>242 243 13 14</t>
  </si>
  <si>
    <t xml:space="preserve">Varlık Mah. 100.Yıl Bulv. Levent Apt. No:61/5 - 0   </t>
  </si>
  <si>
    <t xml:space="preserve">Uzm.Dr. Mahmut Nedim Doğan </t>
  </si>
  <si>
    <t>242 313 13 04</t>
  </si>
  <si>
    <t>Yeşilbahçe Mah.M.Kasapoğl Cad.Yorgancıosit.A-27/2</t>
  </si>
  <si>
    <t xml:space="preserve">Uzm.Dr. Orhan Hoşgör </t>
  </si>
  <si>
    <t xml:space="preserve">Varlık Mah. 100.Yıl Bulv. Levent Apt. 61/5  </t>
  </si>
  <si>
    <t>Uzm.Dr.Aşkın Güra Nemlioğlu</t>
  </si>
  <si>
    <t xml:space="preserve">242 324 65 55                                   </t>
  </si>
  <si>
    <t xml:space="preserve">533 614 40 90                                   </t>
  </si>
  <si>
    <t>Fener Mah.Fener Cad.Fener İş Merk.A 2 Blok K:2</t>
  </si>
  <si>
    <t>Uzm.Dr.Cemil Karakuş</t>
  </si>
  <si>
    <t xml:space="preserve">242 322 55 44       </t>
  </si>
  <si>
    <t xml:space="preserve">532 348 30 33                                   </t>
  </si>
  <si>
    <t>Yeşilbahçe Mah.Metin Kasapoğlu Cad.No:23 Gökhan İş Merkezi</t>
  </si>
  <si>
    <t xml:space="preserve">Uzm.Dr.Dolunay Yelda Doğan </t>
  </si>
  <si>
    <t>Uzm.Dr.Güray Ünlü</t>
  </si>
  <si>
    <t xml:space="preserve">242 311 11 70                                   </t>
  </si>
  <si>
    <t xml:space="preserve">533 641 88 21                                   </t>
  </si>
  <si>
    <t>Yeşilbahçe Mah. Metin Kasapoğlu Cad. Beytaş Sitesi No:2 D:7 Lara</t>
  </si>
  <si>
    <t>Uzm.Dr.Özgür Hakan Yüksel</t>
  </si>
  <si>
    <t xml:space="preserve">242 323 36 37                                   </t>
  </si>
  <si>
    <t xml:space="preserve">532 273 21 59                                   </t>
  </si>
  <si>
    <t>Demircikaya Mah.Tekelioğlu Cad.Seda Apt.No:11/6</t>
  </si>
  <si>
    <t>Uzm.Dr.Sibel Malkoç</t>
  </si>
  <si>
    <t xml:space="preserve">242 324 44 42                                   </t>
  </si>
  <si>
    <t xml:space="preserve">530 108 63 66                                   </t>
  </si>
  <si>
    <t>Fener Mah.Fener Cad.Fener İş Mer.No:9 D:11</t>
  </si>
  <si>
    <t>Uzm.Dr.Şeyda Bayraktaroğlu Temel</t>
  </si>
  <si>
    <t xml:space="preserve">242 323 99 96                                   </t>
  </si>
  <si>
    <t xml:space="preserve">532 283 11 06                                   </t>
  </si>
  <si>
    <t xml:space="preserve">Çağlayan Mah. Fener Cad. Irmak Apt. No:52 D:1/2 </t>
  </si>
  <si>
    <t>Uzm.Dr.Türkan Bakalım</t>
  </si>
  <si>
    <t xml:space="preserve">242 323 56 91                                   </t>
  </si>
  <si>
    <t xml:space="preserve">533 816 07 96                                   </t>
  </si>
  <si>
    <t xml:space="preserve">Sinan Mah. Arık Caddesi No:49 D:2 Muratpaşa  Antalya </t>
  </si>
  <si>
    <t>Uzm.Dr.Ümmü Özkaya</t>
  </si>
  <si>
    <t xml:space="preserve">232 421 21 42                                   </t>
  </si>
  <si>
    <t xml:space="preserve">534 060 01 85                                   </t>
  </si>
  <si>
    <t>Doğukaya Mah.Termessos Bulv.Time Plaza No:33/10</t>
  </si>
  <si>
    <t>Uzm. Dr. Aycan Aydoğmuş</t>
  </si>
  <si>
    <t>Nöroloji Sinir Hast.</t>
  </si>
  <si>
    <t xml:space="preserve">242 408 27 24                                   </t>
  </si>
  <si>
    <t xml:space="preserve">505 348 30 73                                   </t>
  </si>
  <si>
    <t>Şirinyalı Mah.İsmet Gökşen Cad.No:77 D:1</t>
  </si>
  <si>
    <t>Uzm. Dr. Olcay Ulusoy Peköz</t>
  </si>
  <si>
    <t>256 613 29 69</t>
  </si>
  <si>
    <t>532 645 75 43</t>
  </si>
  <si>
    <t>Türkmen Mah. İnönü Bulv.Bahçearası Sok. No:1/6</t>
  </si>
  <si>
    <t>Kuşadası</t>
  </si>
  <si>
    <t>Aydın</t>
  </si>
  <si>
    <t>Uzm.Dr. Gülten Usta</t>
  </si>
  <si>
    <t xml:space="preserve">256 612 56 90                                   </t>
  </si>
  <si>
    <t>Türkmen Mah. Dragon Apt.No:69/A</t>
  </si>
  <si>
    <t xml:space="preserve">Uzm. Dr. Şükrü Yenice </t>
  </si>
  <si>
    <t xml:space="preserve">256 312 94 19                                   </t>
  </si>
  <si>
    <t xml:space="preserve">532 652 45 76                   </t>
  </si>
  <si>
    <t xml:space="preserve">Kurtuluş Mah. 121 Sok. No:27/A </t>
  </si>
  <si>
    <t>Nazilli</t>
  </si>
  <si>
    <t xml:space="preserve">Uzm. Dr. Eser Paşa </t>
  </si>
  <si>
    <t xml:space="preserve">256 518 58 59                                   </t>
  </si>
  <si>
    <t xml:space="preserve">533 412 29 73                                   </t>
  </si>
  <si>
    <t>Atatürk Mah. Kubilay Cad. No:3/A</t>
  </si>
  <si>
    <t xml:space="preserve">Söke </t>
  </si>
  <si>
    <t>Söke</t>
  </si>
  <si>
    <t>Uzm. Dr.Erkan Çoşkun</t>
  </si>
  <si>
    <t xml:space="preserve">266 713 33 27                                   </t>
  </si>
  <si>
    <t xml:space="preserve">542 426 68 93                                   </t>
  </si>
  <si>
    <t>Günaydın Mah.İnönü Cad.Ülpe Apt.No:130:A</t>
  </si>
  <si>
    <t xml:space="preserve">Bandırma </t>
  </si>
  <si>
    <t>Bandırma</t>
  </si>
  <si>
    <t>Balıkesir</t>
  </si>
  <si>
    <t>Uzm. Dr.İbrahim Tutak</t>
  </si>
  <si>
    <t xml:space="preserve">266 245 91 73                                   </t>
  </si>
  <si>
    <t xml:space="preserve">532 493 75 31                                   </t>
  </si>
  <si>
    <t>Atatürk Mah.Harman Sok.No:22/A</t>
  </si>
  <si>
    <t>Karesi</t>
  </si>
  <si>
    <t>Uzm. Dr. Ali Dinçoğuz</t>
  </si>
  <si>
    <t xml:space="preserve">488 214 40 55 </t>
  </si>
  <si>
    <t xml:space="preserve">Güven Çocuk Sağliği Merkezi Cumhuriyet Mah. Atatürk Bulv. No:148 </t>
  </si>
  <si>
    <t>Uzm. Dr. İlhan Aydın</t>
  </si>
  <si>
    <t xml:space="preserve">224 662 00 50                                   </t>
  </si>
  <si>
    <t xml:space="preserve">539 207 00 09                                   </t>
  </si>
  <si>
    <t>Karacaahmet Mah. Karacaahmet Cad.No:17 D:A</t>
  </si>
  <si>
    <t>Karacabey</t>
  </si>
  <si>
    <t>Prof. Dr. Mesut Özcan</t>
  </si>
  <si>
    <t>Plastik ve Rekonstrüktif Cerrahi</t>
  </si>
  <si>
    <t>224 241 94 94</t>
  </si>
  <si>
    <t>532 232 64 00</t>
  </si>
  <si>
    <t>Realist Özel Sağlık Hizmetleri "ESTETİCARE" Fatih Sultan Mehmet Blv. No:183</t>
  </si>
  <si>
    <t>Nilüfer</t>
  </si>
  <si>
    <t>Uzm. Dr. Aslıhan Saygın</t>
  </si>
  <si>
    <t xml:space="preserve">224 240 15 00                </t>
  </si>
  <si>
    <t xml:space="preserve">532 305 48 07      </t>
  </si>
  <si>
    <t xml:space="preserve">Fethiye Mah.Fatih Sultan Mehmet Bulv.Fulya Sok. Yıldırım Plaza  A Blok No: 15 </t>
  </si>
  <si>
    <t>Uzm. Dr. Aynur Şendemir</t>
  </si>
  <si>
    <t xml:space="preserve">224 236 59 59                                   </t>
  </si>
  <si>
    <t xml:space="preserve">533 334 31 23                                   </t>
  </si>
  <si>
    <t>Konak Mah. İzmir Yolu Cad. Çağlayan İş Merkezi No:93/1</t>
  </si>
  <si>
    <t>Uzm. Dr. Bülent Aldemir</t>
  </si>
  <si>
    <t>224 222 10 77</t>
  </si>
  <si>
    <t>532 285 03 11</t>
  </si>
  <si>
    <t xml:space="preserve">Fatih Sultan Mehmet Bulvarı Esentepe Mah. Bahar Sitesi D Blok Kat:2 D:1 </t>
  </si>
  <si>
    <t>Uzm. Dr. Cenk Aşkalli</t>
  </si>
  <si>
    <t xml:space="preserve">224 241 47 47 </t>
  </si>
  <si>
    <t>532 417 80 96</t>
  </si>
  <si>
    <t>Ertun Medikal Özel Sağlık Hizmetleri  "BURSA A.R.T." Fethiye M. FSM Blv. Beyaz S. No:28</t>
  </si>
  <si>
    <t>Uzm. Dr. Faruk Dinçşahin</t>
  </si>
  <si>
    <t>224 451 29 46</t>
  </si>
  <si>
    <t>532 461 77 71</t>
  </si>
  <si>
    <t>Odunluk Mah. Akademi Caddesi Zeno Busenis Center B Blok No:2B D:5</t>
  </si>
  <si>
    <t>Uzm. Dr. Mümin Karahasan</t>
  </si>
  <si>
    <t>224 246 01 80</t>
  </si>
  <si>
    <t>532 254 10 41</t>
  </si>
  <si>
    <t>Balat Mahallesi Bukle Sk. No:56 Dikencik Sitesi 2 - C Blok D:3</t>
  </si>
  <si>
    <t xml:space="preserve">Uzm.Dr. Orhan Sevinç Cura </t>
  </si>
  <si>
    <t>224 443 15 83</t>
  </si>
  <si>
    <t xml:space="preserve">Ataevler Mah. Yılmaz Akkı Lıç Cad. No:19 D:14-15-1   </t>
  </si>
  <si>
    <t>Uzm.Dr.Berk Karataş</t>
  </si>
  <si>
    <t xml:space="preserve">224 249 48 50                                   </t>
  </si>
  <si>
    <t xml:space="preserve">532 230 83 75                                   </t>
  </si>
  <si>
    <t>Esentepe Mah.FSM Bulv.Bahar Site.D Blok No:96/1</t>
  </si>
  <si>
    <t>Uzm.Dr.Muzaffer Ocak</t>
  </si>
  <si>
    <t xml:space="preserve">224 232 03 43                                   </t>
  </si>
  <si>
    <t xml:space="preserve">530 419 91 34                                   </t>
  </si>
  <si>
    <t>Odunluk Mah. Lefkoşe Cad.Mihraplı Plaza No:9/B D:51</t>
  </si>
  <si>
    <t>Uzm.Dr.Murat Moray</t>
  </si>
  <si>
    <t>224 470 19 99</t>
  </si>
  <si>
    <t>530 280 09 99</t>
  </si>
  <si>
    <t>İhsaniye Mah.Fatih Sultan Mehmet Bulv.Gültekin Apt.D/5</t>
  </si>
  <si>
    <t>Uzm.Dr.Ali Tufan Soydan</t>
  </si>
  <si>
    <t xml:space="preserve">224 242 00 57                                   </t>
  </si>
  <si>
    <t xml:space="preserve">505 783 60 63                                   </t>
  </si>
  <si>
    <t xml:space="preserve">Fethiye Mah.Fulya Sok.Yıldırım Plaza A Blok No:15 D:5 </t>
  </si>
  <si>
    <t xml:space="preserve">Nilüfer </t>
  </si>
  <si>
    <t>Uzm. Dr. Hamdi Uğur</t>
  </si>
  <si>
    <t>224 234 07 08</t>
  </si>
  <si>
    <t>532 466 88 02</t>
  </si>
  <si>
    <t>Medika Nöroloji   No:91-B/4</t>
  </si>
  <si>
    <t>Çekirge</t>
  </si>
  <si>
    <t>Osmangazi</t>
  </si>
  <si>
    <t>Doç. Dr. Bülent Orhan</t>
  </si>
  <si>
    <t>İç Hastalıkları-Tıbbi Onkoloji</t>
  </si>
  <si>
    <t xml:space="preserve">224 234 50 62                                   </t>
  </si>
  <si>
    <t xml:space="preserve">Kükürtlü Mah. Oulu Cad. Oylum Gökberk Sitesi Giriş Kat D:4 </t>
  </si>
  <si>
    <t>Prof. Dr. Hakan Ozan</t>
  </si>
  <si>
    <t>Uzm. Dr. Ahmet Baybalı</t>
  </si>
  <si>
    <t xml:space="preserve">224 224 06 38          </t>
  </si>
  <si>
    <t xml:space="preserve">532 245 06 35                                   </t>
  </si>
  <si>
    <t>Kükürtlü Cad. 2. Üstün Sok. No:12</t>
  </si>
  <si>
    <t xml:space="preserve">Uzm. Dr. Gülin Okan </t>
  </si>
  <si>
    <t>224 235 02 22</t>
  </si>
  <si>
    <t>538 264 67 62</t>
  </si>
  <si>
    <t xml:space="preserve">Kükürtlü Mah. İnci Sok. Yılmazer Apt. K:2/4 </t>
  </si>
  <si>
    <t>Uzm. Dr. Kaşif Önder</t>
  </si>
  <si>
    <t xml:space="preserve">224 222 99 76 </t>
  </si>
  <si>
    <t>532 312 55 69</t>
  </si>
  <si>
    <t>Atatürk Cad. Eser Emre İş Merkezi No:3/302</t>
  </si>
  <si>
    <t>Uzm. Dr. M.Ali Şüküroğlu</t>
  </si>
  <si>
    <t xml:space="preserve">224 223 12 55                  </t>
  </si>
  <si>
    <t xml:space="preserve">Hocaalizade Cad. Belde Apt. No:23/4 </t>
  </si>
  <si>
    <t>Uzm. Dr. Mehmet Beşer</t>
  </si>
  <si>
    <t xml:space="preserve">224 224 20 40                                   </t>
  </si>
  <si>
    <t>Cemal Nadir Cad. Timurtaş Apt No:4/5</t>
  </si>
  <si>
    <t>Uzm. Dr. Mehmet Karalar</t>
  </si>
  <si>
    <t>224 224 97 05</t>
  </si>
  <si>
    <t>542 434 85 75</t>
  </si>
  <si>
    <t>Altıparmak C. No:46/2</t>
  </si>
  <si>
    <t>Uzm. Dr. Mehmet Okan Özdemir</t>
  </si>
  <si>
    <t>224 223 23 23</t>
  </si>
  <si>
    <t>533 215 66 66</t>
  </si>
  <si>
    <t>Bağlarbaşı Mah.1.Sedir Sok.Evke Mediloft NO15/15</t>
  </si>
  <si>
    <t>Uzm. Dr. Mehmet Sabit Günel</t>
  </si>
  <si>
    <t>224 234 04 34</t>
  </si>
  <si>
    <t>532 341 18 86</t>
  </si>
  <si>
    <t>Çekirge Cad. Dilek Apt. A Blok No:93/1</t>
  </si>
  <si>
    <t>Uzm. Dr. Mukaddes Özcan</t>
  </si>
  <si>
    <t>224 232 07 17</t>
  </si>
  <si>
    <t>532 652 63 93</t>
  </si>
  <si>
    <t>Sanayi Cad. Bağlarbaşı Mah. Kırayoğlu İş Merkezi K:4 No:322</t>
  </si>
  <si>
    <t>Uzm.Dr. Nesrin Kalelioğlu</t>
  </si>
  <si>
    <t xml:space="preserve">224 220 27 06                                   </t>
  </si>
  <si>
    <t>Hacılar Mah. İlknur Sok. Alpcan Apt. No:11/5</t>
  </si>
  <si>
    <t xml:space="preserve">Uzm.Dr. Nural Dinçer </t>
  </si>
  <si>
    <t xml:space="preserve">224 249 25 94                        </t>
  </si>
  <si>
    <t xml:space="preserve">532 455 66 04                     </t>
  </si>
  <si>
    <t xml:space="preserve">Y. Karaman Mah. Sanayi C. Umi Plaza No:150/25 </t>
  </si>
  <si>
    <t>Uzm. Dr. Ramazan Harmancı</t>
  </si>
  <si>
    <t xml:space="preserve">224 245 55 44                              </t>
  </si>
  <si>
    <t>533 320 95 30</t>
  </si>
  <si>
    <t>Yenikaraman Mah. Sanayi Cad. Umi Plaza No:150/44</t>
  </si>
  <si>
    <t>Uzm. Dr.Gülcan Satır</t>
  </si>
  <si>
    <t xml:space="preserve">224 224 69 90                                   </t>
  </si>
  <si>
    <t xml:space="preserve">532 452 92 39                                   </t>
  </si>
  <si>
    <t>Bağlarbaşı Mah.1.Sedir Sok.No:10</t>
  </si>
  <si>
    <t>Uzm.Dr.Neval Bayazit</t>
  </si>
  <si>
    <t xml:space="preserve">224 249 29 38                                   </t>
  </si>
  <si>
    <t xml:space="preserve">543 686 73 43                                   </t>
  </si>
  <si>
    <t>Bağlarbaşı Mah. Sanayi Cad. Deniz Bora İş Mer. No:324 D:6</t>
  </si>
  <si>
    <t>Uzm.Dr.Nihat Gök</t>
  </si>
  <si>
    <t xml:space="preserve">224 234 63 30                                   </t>
  </si>
  <si>
    <t xml:space="preserve">532 652 24 28                                   </t>
  </si>
  <si>
    <t>Yenikaraman Mah. Sanayi Cad. Umi Plaza No:150/1 D:1</t>
  </si>
  <si>
    <t xml:space="preserve">Uzm.Dr. Feyhan Kaylar </t>
  </si>
  <si>
    <t>224 233 17 66</t>
  </si>
  <si>
    <t xml:space="preserve"> Kükürtlü Mah. Oulu Cad. Manolya Sok.Aka Pl.No:1/1   </t>
  </si>
  <si>
    <t xml:space="preserve">Uzm.Dr. Günseli Kayhan </t>
  </si>
  <si>
    <t>224 224 41 06</t>
  </si>
  <si>
    <t xml:space="preserve">Altıparmak Cad.Stat İş Ha Nı No.86 K:3   </t>
  </si>
  <si>
    <t xml:space="preserve">Uzm.Dr. Türkan Yavuz </t>
  </si>
  <si>
    <t>224 240 22 72</t>
  </si>
  <si>
    <t xml:space="preserve">Yeni Karaman Mah. Sanayicad. Yolu No:150 K:6 D:63 </t>
  </si>
  <si>
    <t>Uzm.Dr.Arif Canan</t>
  </si>
  <si>
    <t xml:space="preserve">224 246 20 09                                   </t>
  </si>
  <si>
    <t xml:space="preserve">542 216 88 81                                   </t>
  </si>
  <si>
    <t xml:space="preserve">Bağlarbaşı Mah.1. Sedir Sokak No:7 </t>
  </si>
  <si>
    <t>Uzm.Dr.Ceylan Bayraktar</t>
  </si>
  <si>
    <t>Göğüs Hastalıkları</t>
  </si>
  <si>
    <t xml:space="preserve">224 243 43 88                                   </t>
  </si>
  <si>
    <t xml:space="preserve">532 453 24 92                                   </t>
  </si>
  <si>
    <t>Fatih Sultan Mehmet Mah.Mudanya Yolu Evke Plaza No:646</t>
  </si>
  <si>
    <t>Uzm.Dr.Erdoğan Yüzkollar</t>
  </si>
  <si>
    <t xml:space="preserve">224 240 16 34                                   </t>
  </si>
  <si>
    <t xml:space="preserve">542 422 51 78                                   </t>
  </si>
  <si>
    <t>Bağlarbaşı Mah. 1. Sedir Sok. No:15 D:15</t>
  </si>
  <si>
    <t>Uzm.Dr.Göktuğ Saraydaroğlu</t>
  </si>
  <si>
    <t xml:space="preserve">224 249 00 88                                   </t>
  </si>
  <si>
    <t xml:space="preserve">532 703 37 60                                   </t>
  </si>
  <si>
    <t>Bağlarbaşı Mah.1. Sedir Sok. Evke Mediloft 2 No:1/5 D:16 Bağlarbaşı</t>
  </si>
  <si>
    <t>Uzm.Dr.Murat Dutipek</t>
  </si>
  <si>
    <t xml:space="preserve">532 346 95 05                                   </t>
  </si>
  <si>
    <t>Uzm.Dr.Sevil Parker</t>
  </si>
  <si>
    <t xml:space="preserve">224 249 10 14                                   </t>
  </si>
  <si>
    <t xml:space="preserve">533 202 34 74                                   </t>
  </si>
  <si>
    <t xml:space="preserve">Yenikaraman Mah.Sanayi Cad.Umi Plaza No:150 D:13 </t>
  </si>
  <si>
    <t>Prof.Dr.Selçuk Onart</t>
  </si>
  <si>
    <t xml:space="preserve">224 442 80 80                                   </t>
  </si>
  <si>
    <t xml:space="preserve">532 662 91 21                                   </t>
  </si>
  <si>
    <t>Yenikaraman Mah.Sanayi Cad.Umi Plaza No:150 D:21</t>
  </si>
  <si>
    <t>Uzm.Dr.Suat Paker</t>
  </si>
  <si>
    <t xml:space="preserve">554 272 15 31                                   </t>
  </si>
  <si>
    <t>Yenikahraman Mah.Sanayi Cad.Umi Plaza No:150 D:13</t>
  </si>
  <si>
    <t>Uzm.Dr.Ömer Levent Soydinç</t>
  </si>
  <si>
    <t xml:space="preserve">224 223 12 18                                   </t>
  </si>
  <si>
    <t xml:space="preserve">505 452 43 46                                   </t>
  </si>
  <si>
    <t>Yahşibey Mah.Altıparmak Cad.12 Ocak Apt. No:71/3</t>
  </si>
  <si>
    <t>Uzm.Dr.Hatice Erdem</t>
  </si>
  <si>
    <t>224 240 22 26</t>
  </si>
  <si>
    <t>532 545 8655</t>
  </si>
  <si>
    <t>Yenikaraman Mah.Sanayi Cad.Umi Plaza No:150/50</t>
  </si>
  <si>
    <t>Uzm. Dr. Ahmet C. Köse</t>
  </si>
  <si>
    <t>224 222 13 50</t>
  </si>
  <si>
    <t>532 367 95 89</t>
  </si>
  <si>
    <t xml:space="preserve">ACK Ürotaş Üroloji Dal Merkezi . Atatürk Cad. Setbaşı Apt. No:3/1 </t>
  </si>
  <si>
    <t xml:space="preserve">Setbaşı </t>
  </si>
  <si>
    <t>Uzm.Dr.Nejat Gülgör</t>
  </si>
  <si>
    <t xml:space="preserve">224 233 11 77                                   </t>
  </si>
  <si>
    <t xml:space="preserve">532 445 41 61                                   </t>
  </si>
  <si>
    <t xml:space="preserve">Hüdavendigar Mah. Dikkaldırım Caddesi No:23 </t>
  </si>
  <si>
    <t xml:space="preserve">Osmangazi </t>
  </si>
  <si>
    <t>Uzm.Dr.Sezgin Çetinkaya</t>
  </si>
  <si>
    <t>224 222 58 02</t>
  </si>
  <si>
    <t>532 227 94 47</t>
  </si>
  <si>
    <t>Yenikaraman MAH. Sanayi Caddesi Umi Plaza No:150 D:21</t>
  </si>
  <si>
    <t>Uzm. Dr. Şebnem İnal</t>
  </si>
  <si>
    <t xml:space="preserve">224 451 35 55          </t>
  </si>
  <si>
    <t xml:space="preserve">532 463 65 11               </t>
  </si>
  <si>
    <t xml:space="preserve">Beşevler Konak Mah. İzmiryolu Cad. Çağlayan İş Merkezi D:1 K:1 No:93 </t>
  </si>
  <si>
    <t>Uzm.Dr.Ayfer Güleç</t>
  </si>
  <si>
    <t>224 451 20 70</t>
  </si>
  <si>
    <t>542 586 15 27</t>
  </si>
  <si>
    <t>Odunluk Mah.Lefkoşe Cad.Mihraplı Plaza C Blok No:9</t>
  </si>
  <si>
    <t>Uzm.Dr.Bülent Öztürk</t>
  </si>
  <si>
    <t xml:space="preserve">224 222 22 22                                   </t>
  </si>
  <si>
    <t xml:space="preserve">532 336 77 13                                   </t>
  </si>
  <si>
    <t xml:space="preserve">İhsaniye Mah.Can(110) Sokak No:2/1 </t>
  </si>
  <si>
    <t>Uzm.Dr.Sibel Ünlü</t>
  </si>
  <si>
    <t xml:space="preserve">224 452 52 74                                   </t>
  </si>
  <si>
    <t xml:space="preserve">533 495 77 33                                   </t>
  </si>
  <si>
    <t>Cumhuriyet Mah.Fatih Sultan Mehmet Bulv. No:77 D:7</t>
  </si>
  <si>
    <t>Uzm. Dr. Melike Yıldırım</t>
  </si>
  <si>
    <t xml:space="preserve">224 224 90 82        </t>
  </si>
  <si>
    <t xml:space="preserve">532 375 53 61           </t>
  </si>
  <si>
    <t>Gaziakdemir Mah. Çekirge Cad. Dilek Apt. B Blok d:1 No:91</t>
  </si>
  <si>
    <t>Uzm. Dr. Jale Gürlüler</t>
  </si>
  <si>
    <t xml:space="preserve">224 249 42 11                                   </t>
  </si>
  <si>
    <t>c</t>
  </si>
  <si>
    <t xml:space="preserve">Yenikaraman Mah. Sanayi Cad. Umi Plaza No:150/35 </t>
  </si>
  <si>
    <t xml:space="preserve">Prof.Dr. Mehmet Babür Kaleli </t>
  </si>
  <si>
    <t>258 242 24 43</t>
  </si>
  <si>
    <t xml:space="preserve">Sırakapılar Mah.493. Sokak No:12/5 </t>
  </si>
  <si>
    <t>Merkezefendi</t>
  </si>
  <si>
    <t>Denizli</t>
  </si>
  <si>
    <t xml:space="preserve">Uzm.Dr. Malik Dülgeroğlu </t>
  </si>
  <si>
    <t>258 262 24 11</t>
  </si>
  <si>
    <t xml:space="preserve">Saltak Cad. 38/1 -2   </t>
  </si>
  <si>
    <t xml:space="preserve">Uzm.Dr. Salih Özcan </t>
  </si>
  <si>
    <t>258 242 67 56</t>
  </si>
  <si>
    <t xml:space="preserve">Saltak Cad. No:56 K:1   </t>
  </si>
  <si>
    <t xml:space="preserve">Uzm.Dr. Şengül Ergünü </t>
  </si>
  <si>
    <t>258 263 78 37</t>
  </si>
  <si>
    <t xml:space="preserve">Hastane Cad. Üçler İki Apt. No:35/6   </t>
  </si>
  <si>
    <t xml:space="preserve">Uzm.Dr. Zerrin Çelik </t>
  </si>
  <si>
    <t>258 241 24 02</t>
  </si>
  <si>
    <t xml:space="preserve">Doktorlar Cad. Paü Karşıs Koçyiğit Apt. No:31 K:4   </t>
  </si>
  <si>
    <t>Uzm.Dr.Serçin Tirelioğlu</t>
  </si>
  <si>
    <t xml:space="preserve">258 211 05 32                                   </t>
  </si>
  <si>
    <t xml:space="preserve">533 717 20 38                                   </t>
  </si>
  <si>
    <t xml:space="preserve">Çamlaraltı Mah. 2636 Sok. No:42 </t>
  </si>
  <si>
    <t>Prof. Dr. Serdar Erkasap</t>
  </si>
  <si>
    <t>222 224 10 56</t>
  </si>
  <si>
    <t>533 617 76 37</t>
  </si>
  <si>
    <t>Akarbaşı Mah.Atatürk Bulv.Sönmez Apt.No:84/1</t>
  </si>
  <si>
    <t>Odunpazarı</t>
  </si>
  <si>
    <t>Uzm. Dr.Kemal Hükmen</t>
  </si>
  <si>
    <t xml:space="preserve">222 233 55 23                                   </t>
  </si>
  <si>
    <t xml:space="preserve">532 749 87 87                                   </t>
  </si>
  <si>
    <t>İstiklal Mah.Şair Fuzuli Cad.No:2 D:3/4</t>
  </si>
  <si>
    <t>Uzm. Dr. Mehmet Rafi Özer</t>
  </si>
  <si>
    <t xml:space="preserve">222 335 56 66 </t>
  </si>
  <si>
    <t>532 417 07 23</t>
  </si>
  <si>
    <t>Batıkent Mah.Dedekorkut Sok.No:52</t>
  </si>
  <si>
    <t>Tepebaşı</t>
  </si>
  <si>
    <t>Uzm.Dr.Nilgün Başmak</t>
  </si>
  <si>
    <t>222 220 01 61</t>
  </si>
  <si>
    <t>505 478 11 55</t>
  </si>
  <si>
    <t>Hoşnudiye Mah.İsmet İnönü Cad.No:19 D:13</t>
  </si>
  <si>
    <t>Doç.Dr.Ebru Dikensoy</t>
  </si>
  <si>
    <t xml:space="preserve">533 226 00 26         </t>
  </si>
  <si>
    <t xml:space="preserve">533 496 20 77                  </t>
  </si>
  <si>
    <t xml:space="preserve">Mücahitler Mah. 52063. Sok. No:3/4/7 </t>
  </si>
  <si>
    <t xml:space="preserve">Şehitkamil </t>
  </si>
  <si>
    <t xml:space="preserve">Gaziantep </t>
  </si>
  <si>
    <t>Prof.Dr.Yalçın Kepekçi</t>
  </si>
  <si>
    <t xml:space="preserve">342 215 19 49                                   </t>
  </si>
  <si>
    <t xml:space="preserve">532 245 78 58                                   </t>
  </si>
  <si>
    <t>İncili Pınar Mah.Muammer Aksoy Bulv.Prestij İşMer.No:13</t>
  </si>
  <si>
    <t xml:space="preserve">Uzm.Dr. Hakan Yılankırkan </t>
  </si>
  <si>
    <t xml:space="preserve">342 221 13 33                                   </t>
  </si>
  <si>
    <t>532 413 40 53</t>
  </si>
  <si>
    <t>İncili Pınar Mah.Muammer Aksoy Bulv.No:45 Kat:1</t>
  </si>
  <si>
    <t>Uzm.Dr.Sezgin Sönmez</t>
  </si>
  <si>
    <t>342 323 10 22</t>
  </si>
  <si>
    <t>533 226 00 26</t>
  </si>
  <si>
    <t>Mücahitler Mah.52063 Sok.Selçuk İş Mer.No:3/7</t>
  </si>
  <si>
    <t>Doç.Dr.Duygu İbrişim</t>
  </si>
  <si>
    <t xml:space="preserve">216 572 98 02                                   </t>
  </si>
  <si>
    <t xml:space="preserve">532 377 21 39                                   </t>
  </si>
  <si>
    <t>Küçükbakkalköy Mah.Defne Sok.Flora Residence No:1 D:158</t>
  </si>
  <si>
    <t>Ataşehir</t>
  </si>
  <si>
    <t>Uzm.Dr Selase Sansar</t>
  </si>
  <si>
    <t>216 576 02 00</t>
  </si>
  <si>
    <t>Küçükbakkalköy Mah.Atilla İlhan Cad.No:14</t>
  </si>
  <si>
    <t>Uzm.Dr Ceyda Ekiz</t>
  </si>
  <si>
    <t>Küçükbakkalköy Mah.Atilla İlhan Cad.No:22</t>
  </si>
  <si>
    <t xml:space="preserve">Uzm.Dr.Fatma Günay Ermergen </t>
  </si>
  <si>
    <t>Küçükbakkalköy Mah.Atilla İlhan Cad.No:20</t>
  </si>
  <si>
    <t xml:space="preserve">Uzm.Dr.Nilgün Ünal </t>
  </si>
  <si>
    <t>Küçükbakkalköy Mah.Atilla İlhan Cad.No:21</t>
  </si>
  <si>
    <t>Prof. Dr. Ali Serdar Fak</t>
  </si>
  <si>
    <t xml:space="preserve">216 688 32 68                           </t>
  </si>
  <si>
    <t>Ülgen Sağlık Hizm. Barbaros Mah.  Ağaoğlu My Prestıge No:1 D:104</t>
  </si>
  <si>
    <t xml:space="preserve">Prof. Dr. Dilek İnce Günal </t>
  </si>
  <si>
    <t>Prof. Dr. Erol Egeli</t>
  </si>
  <si>
    <t>216 455 69 35</t>
  </si>
  <si>
    <t>532 616 70 43</t>
  </si>
  <si>
    <t>Küçükbakkalköy Mah.Preveze Sok.No:15</t>
  </si>
  <si>
    <t>Prof. Dr. Yüksel Yılmaz</t>
  </si>
  <si>
    <t>Çocuk Sağlığı ve Hastalıkları-Çocuk Nörolojisi</t>
  </si>
  <si>
    <t xml:space="preserve">Prof. Dr.Mehmet Cem Turan </t>
  </si>
  <si>
    <t xml:space="preserve">216 386 37 50                                   </t>
  </si>
  <si>
    <t xml:space="preserve">532 351 34 23                                   </t>
  </si>
  <si>
    <t xml:space="preserve">Küçükbakkalköy Mah. Karaman Çiftlik Yolu Caddesi Efe Sokak No:6 </t>
  </si>
  <si>
    <t xml:space="preserve">Prof.Dr. Müslime Akbaba </t>
  </si>
  <si>
    <t>216 688 12 39</t>
  </si>
  <si>
    <t xml:space="preserve">Barbaros Mah. Ihlamur Sok. No:1 My Prestige K:10 D:85 </t>
  </si>
  <si>
    <t>Prof.Dr.Özay Oral</t>
  </si>
  <si>
    <t xml:space="preserve">216 339 90 06                                   </t>
  </si>
  <si>
    <t xml:space="preserve">539 342 37 43                                   </t>
  </si>
  <si>
    <t>Barbaros Mah.Zambak Sok.Varyap Meridien No:2 Ablok K:10 D:106</t>
  </si>
  <si>
    <t>Prof.Dr.Refika Ersu</t>
  </si>
  <si>
    <t xml:space="preserve">216 576 02 00                                   </t>
  </si>
  <si>
    <t xml:space="preserve">532 615 99 39                                   </t>
  </si>
  <si>
    <t>Küçükbakkalköy Mah.Atilla İlhan Cad.No:8</t>
  </si>
  <si>
    <t>Prof.Dr.Savaş Sarı</t>
  </si>
  <si>
    <t xml:space="preserve">532 694 27 36                                   </t>
  </si>
  <si>
    <t xml:space="preserve">Küçükbakkalköy Mah. Atilla İlhan Caddesi NO:8 D:19 </t>
  </si>
  <si>
    <t>Prof.Dr.Seyhan Alkan</t>
  </si>
  <si>
    <t xml:space="preserve">532 266 85 51                                   </t>
  </si>
  <si>
    <t>Küçükbakkalköy Mah.Atilla İlhan Cad.No:8 D:3</t>
  </si>
  <si>
    <t>Uzm.Dr. Arzu İlknur Özdemir</t>
  </si>
  <si>
    <t xml:space="preserve">216 442 25 53                                   </t>
  </si>
  <si>
    <t xml:space="preserve">532 353 37 29                                   </t>
  </si>
  <si>
    <t>Barbaros Mah.Sütçüyolu Cad.No:85/2</t>
  </si>
  <si>
    <t>Uzm. Dr. Pınar Tokatlıoğlu</t>
  </si>
  <si>
    <t>216 456 12 01</t>
  </si>
  <si>
    <t>532 413 98 32</t>
  </si>
  <si>
    <t>64. Ada Kamelya 2/3 D:3</t>
  </si>
  <si>
    <t>Uzm.Dr. Yasin Furkan Kayabaşoğlu</t>
  </si>
  <si>
    <t>Uzm. Dr.Dilek Yıldız Öcal</t>
  </si>
  <si>
    <t>541 442 25 53</t>
  </si>
  <si>
    <t>Uzm.Dr.Arzu Yaşaroğlu Erkum</t>
  </si>
  <si>
    <t xml:space="preserve">216 504 15 64                                   </t>
  </si>
  <si>
    <t xml:space="preserve">532 564 64 98                                   </t>
  </si>
  <si>
    <t>Dudullu Yolu Cad.Brandium Rezidans R2 Blok No:23/25</t>
  </si>
  <si>
    <t>Prof.Dr.Emin Ünüvar</t>
  </si>
  <si>
    <t>Küçükbakkalköy Mah. Atilla İlhan Caddesi No:8 D:1</t>
  </si>
  <si>
    <t>Uzm.Dr.Ceyda Mumcuoğlu</t>
  </si>
  <si>
    <t xml:space="preserve">216 576 02 88                                   </t>
  </si>
  <si>
    <t xml:space="preserve">532 465 83 53                                   </t>
  </si>
  <si>
    <t>Uzm.Dr.Ece Şule Aslan</t>
  </si>
  <si>
    <t>Küçükbakkalköy Mah. Atilla İlhan Caddesi No:8 D:6</t>
  </si>
  <si>
    <t>Uzm.Dr.Meryem Sevinç Elinç Aslan</t>
  </si>
  <si>
    <t xml:space="preserve">543 324 51 17                                   </t>
  </si>
  <si>
    <t>Uzm.Dr.Müjgan Oral</t>
  </si>
  <si>
    <t xml:space="preserve">532 281 80 88                                   </t>
  </si>
  <si>
    <t>Uzm.Dr.Yalçın Özsoy</t>
  </si>
  <si>
    <t xml:space="preserve">216 315 14 14                                   </t>
  </si>
  <si>
    <t xml:space="preserve">542 319 14 14                                   </t>
  </si>
  <si>
    <t>Küçükbakkalköy Mah.Elmalı Sok.Rhinoart Plaza No:1/1 K:2</t>
  </si>
  <si>
    <t xml:space="preserve">Uzm.Dr.Aslı Alay </t>
  </si>
  <si>
    <t xml:space="preserve">216 688 10 88                                   </t>
  </si>
  <si>
    <t xml:space="preserve">533 522 03 63                                   </t>
  </si>
  <si>
    <t xml:space="preserve">Barbaros Mah. Ak Zambak Sok. UPHILL COURT 1B No:3A D:85 </t>
  </si>
  <si>
    <t>Uzm.Dr.İlkay Keskinel</t>
  </si>
  <si>
    <t xml:space="preserve">Göğüs Hastalıkları </t>
  </si>
  <si>
    <t>532 255 98 18</t>
  </si>
  <si>
    <t>Küçükbakkalköy Mah.Atilla İlhan Cad.No:27</t>
  </si>
  <si>
    <t>Prof. Dr.Çoşkun Şahin</t>
  </si>
  <si>
    <t>212 576 02 00</t>
  </si>
  <si>
    <t>532 254 41 36</t>
  </si>
  <si>
    <t xml:space="preserve">Küçükbakkalköy Mah. Attila İlhan Caddesi No:8 D:3/32 </t>
  </si>
  <si>
    <t>Uzm.Dr.Pınar Berik Keskin</t>
  </si>
  <si>
    <t xml:space="preserve">532 543 92 53                                   </t>
  </si>
  <si>
    <t>Küçükbakkalköy Mah.Vedat Günyol Cad.Sümbül Sok.No:36</t>
  </si>
  <si>
    <t>Batıataşehir</t>
  </si>
  <si>
    <t>Prof. Dr. Fazilet Karakoç</t>
  </si>
  <si>
    <t>Çocuk Göğüs Hastalıkları</t>
  </si>
  <si>
    <t xml:space="preserve">532 247 93 57                                   </t>
  </si>
  <si>
    <t>Atilla İlhan Cad.No:8 K:1</t>
  </si>
  <si>
    <t>Küçükbakkalköy</t>
  </si>
  <si>
    <t>Uzm.Dr.Adnan Güdük</t>
  </si>
  <si>
    <t xml:space="preserve">216 580 95 95                                   </t>
  </si>
  <si>
    <t xml:space="preserve">542 411 46 26                                   </t>
  </si>
  <si>
    <t>Küçükbakkalköy Mah.Preveze Sok.No:15/3</t>
  </si>
  <si>
    <t>Uzm.Dr.Kayhan Fidan</t>
  </si>
  <si>
    <t>216 576 10 76</t>
  </si>
  <si>
    <t>532 467 81 71</t>
  </si>
  <si>
    <t>Küçükbakkalköy Mah.Şenlik Sok.No:9/7</t>
  </si>
  <si>
    <t>216 576 10 78</t>
  </si>
  <si>
    <t>533 436 99 17</t>
  </si>
  <si>
    <t>Uzm. Dr. Ayhan Kaftancıoğlu</t>
  </si>
  <si>
    <t>212 593 09 99</t>
  </si>
  <si>
    <t>Marmara Cad. Erenler Apt.No:20/2</t>
  </si>
  <si>
    <t>Avcılar</t>
  </si>
  <si>
    <t xml:space="preserve">Doç.Dr. Osman Murat Uyar </t>
  </si>
  <si>
    <t xml:space="preserve">212 654 73 46                                   </t>
  </si>
  <si>
    <t xml:space="preserve">532 415 81 25                                   </t>
  </si>
  <si>
    <t>Şirinevler Mah. Çakmak Cad. No:24/1</t>
  </si>
  <si>
    <t>Uzm. Dr. Erdem Uzunoğlu</t>
  </si>
  <si>
    <t>212 441 42 00</t>
  </si>
  <si>
    <t>532 221 69 64</t>
  </si>
  <si>
    <t>İstanbul Pediatri Ressam Halil S. A Blok No:2/1</t>
  </si>
  <si>
    <t>Uzm. Dr. Fethiye Eren</t>
  </si>
  <si>
    <t xml:space="preserve">212 555 35 55                                   </t>
  </si>
  <si>
    <t>İzzettin Çalışlar Cad. Bahar Apt. No:5 D:5</t>
  </si>
  <si>
    <t>Uzm. Dr. Gülperi Pınarcık</t>
  </si>
  <si>
    <t xml:space="preserve">212 506 66 31 </t>
  </si>
  <si>
    <t>536 262 01 51</t>
  </si>
  <si>
    <t>Pınarcık Sağlık Hizmetleri Ltd. Şti. İzzettin Çalışlar C. No:33/4</t>
  </si>
  <si>
    <t xml:space="preserve">Uzm. Dr. Hacı Kutlu </t>
  </si>
  <si>
    <t>Ortopedi ve Travmatoloji</t>
  </si>
  <si>
    <t xml:space="preserve">212 230 08 08                                   </t>
  </si>
  <si>
    <t xml:space="preserve">532 323 33 22                                   </t>
  </si>
  <si>
    <t>Metroport Busidence Kültür Sok. No:1 K:7 D:143</t>
  </si>
  <si>
    <t>Uzm. Dr. Hasan Uzpak</t>
  </si>
  <si>
    <t>532 792 79 79</t>
  </si>
  <si>
    <t>Uzm. Dr. İnci Karalar</t>
  </si>
  <si>
    <t>212 642 15 37</t>
  </si>
  <si>
    <t>532 265 48 28</t>
  </si>
  <si>
    <t>İzzettin Çalışlar Cad.Hanımeli S.No:3/3</t>
  </si>
  <si>
    <t>Uzm. Dr. Mehmet Akif Sağlam</t>
  </si>
  <si>
    <t>212 553 044 1</t>
  </si>
  <si>
    <t>532 613 67 96</t>
  </si>
  <si>
    <t>Haznedar Meydanı Preveze S. No:4/5</t>
  </si>
  <si>
    <t>Uzm. Dr. Nilgün Türkarslan</t>
  </si>
  <si>
    <t>212 505 86 95</t>
  </si>
  <si>
    <t>Uğur Sağlık Hizm. Merkez Mah. İzzettin Çalışlar Cad. No:9/8</t>
  </si>
  <si>
    <t>Uzm. Dr. Nuran Kalekoğlu Erkalp</t>
  </si>
  <si>
    <t xml:space="preserve">212 441 50 05        </t>
  </si>
  <si>
    <t>Eski Londra Asfaltı Kültür Sok. Metroport No:1/149</t>
  </si>
  <si>
    <t>Uzm. Dr. Semra Akkuş</t>
  </si>
  <si>
    <t>212 677 86 03</t>
  </si>
  <si>
    <t>532 643 35 46</t>
  </si>
  <si>
    <t>İzzettin Çalışlar Cad.No:28/5</t>
  </si>
  <si>
    <t>Uzm. Dr. Sevin Karalar</t>
  </si>
  <si>
    <t>212 504 31 91</t>
  </si>
  <si>
    <t>542 242 73 10</t>
  </si>
  <si>
    <t>Karalar Sağlık Hizmetleri İzzettin Çalışlar Cad.No:12/4</t>
  </si>
  <si>
    <t>Uzm. Dr. Turhan Karalar</t>
  </si>
  <si>
    <t>535 711 36 65</t>
  </si>
  <si>
    <t>Uzm. Dr. Yıldıray Ünver</t>
  </si>
  <si>
    <t>Uzm. Dr.Erhan Yüce</t>
  </si>
  <si>
    <t xml:space="preserve">212 553 41 40                                   </t>
  </si>
  <si>
    <t xml:space="preserve">531 341 93 00                                   </t>
  </si>
  <si>
    <t>Bahçelievler Mah.Adnan Kahveci Bulvarı No:30/2A</t>
  </si>
  <si>
    <t>Uzm. Dr.Muhammet Dilber</t>
  </si>
  <si>
    <t>212 442 66 99</t>
  </si>
  <si>
    <t>532 650 55 02</t>
  </si>
  <si>
    <t xml:space="preserve">Bahçelievler Mah. Kültür Sokak Metroport Busidence Binası No:14 D:702 </t>
  </si>
  <si>
    <t>Uzm. Dr.Özgür Karlıklı</t>
  </si>
  <si>
    <t xml:space="preserve">505 474 66 41                                   </t>
  </si>
  <si>
    <t xml:space="preserve">Uzm.Dr. Emine Kanmaz Süthan </t>
  </si>
  <si>
    <t xml:space="preserve">212 642 15 37                                   </t>
  </si>
  <si>
    <t xml:space="preserve">Çalışlar Cad. Hanımeli So K. Sadullahbey Apt No:3/   </t>
  </si>
  <si>
    <t xml:space="preserve">Uzm.Dr. Kurtuluş Hallaç </t>
  </si>
  <si>
    <t xml:space="preserve">212 555 46 47                                   </t>
  </si>
  <si>
    <t xml:space="preserve">İzzettin Çalışlar Cad. El İf Apt. No:54/7 - 34180   </t>
  </si>
  <si>
    <t>Uzm.Dr.Ali Osman Koyuncuoğlu</t>
  </si>
  <si>
    <t xml:space="preserve">212 442 40 00                                   </t>
  </si>
  <si>
    <t>533 123 33 83</t>
  </si>
  <si>
    <t xml:space="preserve">Bahçelievler Mah. Yanyol D 100 Sok.Metroport Busidence No:14B D:303 </t>
  </si>
  <si>
    <t>Uzm.Dr.Haldun Seyhan</t>
  </si>
  <si>
    <t xml:space="preserve">212 441 89 39                                   </t>
  </si>
  <si>
    <t xml:space="preserve">537 489 26 82                                   </t>
  </si>
  <si>
    <t xml:space="preserve">Bahçelievler Mah. D100 Karayolu No:14 B Blok D:502  </t>
  </si>
  <si>
    <t>Uzm.Dr.Müjdat Ök</t>
  </si>
  <si>
    <t>Bahçelievler Mah. Yanyol(D100) Sok. No:14/B Blok D:502</t>
  </si>
  <si>
    <t xml:space="preserve">Uzm.Dr. Sait Halil </t>
  </si>
  <si>
    <t>212 603 66 54</t>
  </si>
  <si>
    <t>Ç.Çeşme M. Sanayi C.Nishist.Evleri D Blk No:44/61</t>
  </si>
  <si>
    <t>Uzm.Dr.Ayla Özcan</t>
  </si>
  <si>
    <t xml:space="preserve">212 502 52 53                                   </t>
  </si>
  <si>
    <t xml:space="preserve">533 662 26 60                                   </t>
  </si>
  <si>
    <t xml:space="preserve">Bahçelievler Mah.Naci Kasım Sokak No:41 D:3 </t>
  </si>
  <si>
    <t>Uzm. Dr. Özlem Karahasanoğlu</t>
  </si>
  <si>
    <t>212 559 00 20</t>
  </si>
  <si>
    <t>532 612 69 34</t>
  </si>
  <si>
    <t>9. Kısım D 11 Blok B Kapısı</t>
  </si>
  <si>
    <t>Ataköy</t>
  </si>
  <si>
    <t>Bakırköy</t>
  </si>
  <si>
    <t>Uzm.Dr. Tülin Kocatepe</t>
  </si>
  <si>
    <t>212 661 22 00</t>
  </si>
  <si>
    <t>532 357 52 29</t>
  </si>
  <si>
    <t>9. Kısım A2 A Blok D:2</t>
  </si>
  <si>
    <t>Prof.Dr. Ferhan Öz</t>
  </si>
  <si>
    <t xml:space="preserve">532 314 12 41 </t>
  </si>
  <si>
    <t>533 730 32 09</t>
  </si>
  <si>
    <t>Zeytinlik Mah. Taşevler Sok.Tunalıgil Plaza No:17 K:3</t>
  </si>
  <si>
    <t xml:space="preserve">Prof.Dr. Ferhat Erişir </t>
  </si>
  <si>
    <t>212 466 23 24</t>
  </si>
  <si>
    <t>532 323 00 03</t>
  </si>
  <si>
    <t xml:space="preserve">Fişekhane Cad.Fişek Apt.30/1   </t>
  </si>
  <si>
    <t xml:space="preserve">Prof.Dr.Erol Taşdemiroğlu </t>
  </si>
  <si>
    <t>Beyin Ve Sinir Cerrahi</t>
  </si>
  <si>
    <t>532 276 94 28</t>
  </si>
  <si>
    <t xml:space="preserve">İncirli Cad. Dost Apt. No:70/9   </t>
  </si>
  <si>
    <t>Uzm. Dr. Ferhat Uysal</t>
  </si>
  <si>
    <t>212 571 34 17</t>
  </si>
  <si>
    <t>532 233 95 50</t>
  </si>
  <si>
    <t>Kartaltepe M. İncirli C. Başarı S. No:1 A Blok D:2</t>
  </si>
  <si>
    <t>Uzm. Dr. Kıraç Yalçındağ</t>
  </si>
  <si>
    <t>212 543 79 80</t>
  </si>
  <si>
    <t>532 212 79 93</t>
  </si>
  <si>
    <t xml:space="preserve">Zuhuratbaba Mah. Gençler Cad. No:50/3  </t>
  </si>
  <si>
    <t>Uzm. Dr. Lale Zeynep Kanmaz</t>
  </si>
  <si>
    <t xml:space="preserve">212 570 54 27                                   </t>
  </si>
  <si>
    <t xml:space="preserve">532 311 71 77                                   </t>
  </si>
  <si>
    <t xml:space="preserve">İncirli Cad. Hızalan Sitesi A2 Blok No:19/21 </t>
  </si>
  <si>
    <t>Uzm. Dr. Nur Tüzüner</t>
  </si>
  <si>
    <t>212 570 71 53</t>
  </si>
  <si>
    <t>532 287 87 47</t>
  </si>
  <si>
    <t>Esen Sağlık İşletmeleri  Zuhuratbaba M. Yücetarla C. No:21/3</t>
  </si>
  <si>
    <t>Uzm.Dr.Sevda Eren</t>
  </si>
  <si>
    <t>212 543 66 55</t>
  </si>
  <si>
    <t>Zuhuratbaba Mah.Yücetarla Cad. No:26/2</t>
  </si>
  <si>
    <t>Uzm.Dr. Seçil Günay Avcı</t>
  </si>
  <si>
    <t>212 572 15 15</t>
  </si>
  <si>
    <t>532 544 79 80</t>
  </si>
  <si>
    <t>Zuhuratbaba M. Yücetarla C. No:63/8</t>
  </si>
  <si>
    <t xml:space="preserve">Uzm.Dr. Şahizar Döver </t>
  </si>
  <si>
    <t xml:space="preserve">212 570 35 34                                   </t>
  </si>
  <si>
    <t xml:space="preserve">532 356 59 23                                   </t>
  </si>
  <si>
    <t xml:space="preserve">Zuhuratbaba Mah. Şükrançiftliği Sok. No:41 D:3 </t>
  </si>
  <si>
    <t>Uzm.Dr. Şemsettin Dirim</t>
  </si>
  <si>
    <t>212 542 50 85</t>
  </si>
  <si>
    <t>532 616 70 71</t>
  </si>
  <si>
    <t>Zeytinlik M. Halkçı S. N:25</t>
  </si>
  <si>
    <t xml:space="preserve">Uzm.Dr. Nadire Çakmak </t>
  </si>
  <si>
    <t>212 561 35 00</t>
  </si>
  <si>
    <t>532 212 40 13</t>
  </si>
  <si>
    <t>İncirli Cad. Akıncılar So K. No:2/5</t>
  </si>
  <si>
    <t xml:space="preserve">Uzm.Dr. Rasime Erkan </t>
  </si>
  <si>
    <t>532 275 29 69</t>
  </si>
  <si>
    <t xml:space="preserve">İncirli Cad. No:79 D:3 Dikilitaş </t>
  </si>
  <si>
    <t>Uzm. Dr. Necdet Sungurtekin</t>
  </si>
  <si>
    <t>212 571 08 53</t>
  </si>
  <si>
    <t>532 311 83 69</t>
  </si>
  <si>
    <t xml:space="preserve">Sungurtekin Özel Sağlık Hizmetleri ve Tic. Ltd. Şti. İncirli C. No:21/3 K:1 </t>
  </si>
  <si>
    <t>İncirli</t>
  </si>
  <si>
    <t>Uzm.Dr.Ahmet Mert Bilgili</t>
  </si>
  <si>
    <t xml:space="preserve">212 583 85 65                                   </t>
  </si>
  <si>
    <t xml:space="preserve">532 622 85 00                                   </t>
  </si>
  <si>
    <t>Zuhuratbaba Mah. İncirli Cad. No:89 D:7</t>
  </si>
  <si>
    <t>Uzm.Dr.Eda Kumbasar</t>
  </si>
  <si>
    <t xml:space="preserve">212 583 82 00                                   </t>
  </si>
  <si>
    <t xml:space="preserve">544 545 49 39                                   </t>
  </si>
  <si>
    <t>Kartaltepe Mah. İncirli Cad.Kıbrıs Sok.No:9 D:5</t>
  </si>
  <si>
    <t>Kartaltepe</t>
  </si>
  <si>
    <t>Prof. Dr. Şafak Şahlan</t>
  </si>
  <si>
    <t>212 573 18 05</t>
  </si>
  <si>
    <t>532 276 57 76</t>
  </si>
  <si>
    <t>Teşfikiye Cad. Bayer Apt. İntermet Polikliniği No:63 K:2 Nişantaşı</t>
  </si>
  <si>
    <t>Yeşilköy</t>
  </si>
  <si>
    <t>Uzm. Dr. Olcay Şerife Emel</t>
  </si>
  <si>
    <t>212 662 75 80</t>
  </si>
  <si>
    <t>532 233 59 89</t>
  </si>
  <si>
    <t>Pembe Menekşe S. Yeşilpalas Apt. No:18/2</t>
  </si>
  <si>
    <t>Uzm.Koparal Gürkan</t>
  </si>
  <si>
    <t>212 573 31 87</t>
  </si>
  <si>
    <t>535 366 11 23</t>
  </si>
  <si>
    <t>Özel Yeşilyurt Polikliniği Gürkan Özel Sağlık Tesisleri Fener C. No:1/A D:1-2</t>
  </si>
  <si>
    <t>Yeşilyurt</t>
  </si>
  <si>
    <t xml:space="preserve">Uzm. Dr. Sevda Gürkan </t>
  </si>
  <si>
    <t>532 321 82 17</t>
  </si>
  <si>
    <t xml:space="preserve">Prof. Dr. Akif Turhan Kürüm </t>
  </si>
  <si>
    <t xml:space="preserve">212 485 70 03                                   </t>
  </si>
  <si>
    <t xml:space="preserve">535 396 19 64                                   </t>
  </si>
  <si>
    <t>Başakşehir Mah. 1. Etap İstiklal Cad. No:7/2 K:1</t>
  </si>
  <si>
    <t>Başakşehir</t>
  </si>
  <si>
    <t>Uzm. Dr. Vilda Barlas</t>
  </si>
  <si>
    <t xml:space="preserve">212 669 44 46                                   </t>
  </si>
  <si>
    <t xml:space="preserve">532 425 09 49                                   </t>
  </si>
  <si>
    <t>Bahçeşehir 2. Kısım Mah. Şelale Cad. Villa 22 No:38</t>
  </si>
  <si>
    <t>Uzm. Dr.Deniz Mataracı Çevik</t>
  </si>
  <si>
    <t xml:space="preserve">212 608 00 22                                   </t>
  </si>
  <si>
    <t xml:space="preserve">532 653 77 72                                   </t>
  </si>
  <si>
    <t>Başakşehir Mah. 2.Kısım Mah.Avni Akyol Bulv.Loca Sitesi C Blok No:16</t>
  </si>
  <si>
    <t>Uzm. Dr. Turhan Soylu</t>
  </si>
  <si>
    <t>212 225 54 64</t>
  </si>
  <si>
    <t xml:space="preserve">533 253 54 91      </t>
  </si>
  <si>
    <t>Numunebağı Cad. Özgür Sokak No5 Bayrampaşa Göz Hastanesi</t>
  </si>
  <si>
    <t>Bayrampaşa</t>
  </si>
  <si>
    <t>Uzm. Dr. Ayhan Ağcıoğlu</t>
  </si>
  <si>
    <t xml:space="preserve">212 324 74 54        </t>
  </si>
  <si>
    <t>Medest Polikliniği Levent Mah. Krizantem Sok. No:19</t>
  </si>
  <si>
    <t>1. Levent</t>
  </si>
  <si>
    <t>Beşiktaş</t>
  </si>
  <si>
    <t>Prof.Dr Osman Baran Tortum</t>
  </si>
  <si>
    <t>212 327 89 53</t>
  </si>
  <si>
    <t>532 734 05 18</t>
  </si>
  <si>
    <t xml:space="preserve">Dikilitaş Mah. Yeşil Çimen Sokak No:9/1 </t>
  </si>
  <si>
    <t xml:space="preserve">Uzm.Dr. Ayhan Tokgöz </t>
  </si>
  <si>
    <t>212 278 67 45</t>
  </si>
  <si>
    <t xml:space="preserve">Nispetiye Cad. Başa Sok.Işıl Apt. No:16/1 </t>
  </si>
  <si>
    <t>Uzm.Dr.Hasan Çetin</t>
  </si>
  <si>
    <t xml:space="preserve">542 586 47 90                                   </t>
  </si>
  <si>
    <t>532 211 52 08</t>
  </si>
  <si>
    <t xml:space="preserve">Lilyum  Sok. No 6 </t>
  </si>
  <si>
    <t>Uzm.Dr.Serkan Oral</t>
  </si>
  <si>
    <t xml:space="preserve">212 279 00 99                                   </t>
  </si>
  <si>
    <t>Levazım Mah.Koru Sok.No:2 D:149</t>
  </si>
  <si>
    <t>Doç..Dr.Ayhan Kılıç</t>
  </si>
  <si>
    <t xml:space="preserve">212 227 88 67                                   </t>
  </si>
  <si>
    <t xml:space="preserve">532 562 42 49                                   </t>
  </si>
  <si>
    <t>Dikilitaş Mah.Ayazma Deresi Cad.No:9 D:2</t>
  </si>
  <si>
    <t>Dikilitaş</t>
  </si>
  <si>
    <t>Uzm. Dr. Şükrü H.Sezer</t>
  </si>
  <si>
    <t>212 352 82 82</t>
  </si>
  <si>
    <t>532 294 80 49</t>
  </si>
  <si>
    <t>Medical Corner Tepecik Yolu Alkent Sitesi F3 Blok No:7</t>
  </si>
  <si>
    <t>Etiler</t>
  </si>
  <si>
    <t xml:space="preserve">Uzm. Dr. Meryem Serpil Yazıcı </t>
  </si>
  <si>
    <t xml:space="preserve">212 241 21 25                        </t>
  </si>
  <si>
    <t xml:space="preserve">533 330 05 26        </t>
  </si>
  <si>
    <t>Teşviye Mah.Hakkı Yeten Cad.Aşçıoğlu Plaza No: 17 K.7</t>
  </si>
  <si>
    <t>Fulya</t>
  </si>
  <si>
    <t>Uzm. Dr. Ulviye Atılganoğlu</t>
  </si>
  <si>
    <t>212 264 10 98</t>
  </si>
  <si>
    <t>Nispetiye C. No:5/4</t>
  </si>
  <si>
    <t>Levent</t>
  </si>
  <si>
    <t>Uzm.Dr. Ahmet Hamdi Önay</t>
  </si>
  <si>
    <t xml:space="preserve">212 278 16 47                                   </t>
  </si>
  <si>
    <t xml:space="preserve">532 292 16 48                                   </t>
  </si>
  <si>
    <t>1.Levent Çarşı Cad.Lilyum Sok. No:61</t>
  </si>
  <si>
    <t>Uzm.Dr.Dilek Erzengin</t>
  </si>
  <si>
    <t xml:space="preserve">216 331 36 36                                   </t>
  </si>
  <si>
    <t xml:space="preserve">533 472 82 86                                   </t>
  </si>
  <si>
    <t>Rüzgarlıbahçe Mah. Cumhuriyet Cad. Hasoğlu Plaza No:39 D:44</t>
  </si>
  <si>
    <t>Beykoz</t>
  </si>
  <si>
    <t>Uzm.Dr.Murat Keskin</t>
  </si>
  <si>
    <t>Çocuk Sağlığı Ve Hastalıkları</t>
  </si>
  <si>
    <t>212 873 95 63</t>
  </si>
  <si>
    <t>553 873 95 63</t>
  </si>
  <si>
    <t>Barış Mah.Belediye Cad.No:30/D D:174</t>
  </si>
  <si>
    <t>Beylikdüzü</t>
  </si>
  <si>
    <t>Uzm.Dr.Peruze Göknur Mehtap Derelioğlu</t>
  </si>
  <si>
    <t>553 877 95 63</t>
  </si>
  <si>
    <t>Barış Mah.Belediye Cad.No:30/174</t>
  </si>
  <si>
    <t>Uzm.Dr.İlhan Hatipoğlu</t>
  </si>
  <si>
    <t>533 877 95 63</t>
  </si>
  <si>
    <t>Barış Mah. Belediye Cad. Ginza Lavinya Park C Blok No:174</t>
  </si>
  <si>
    <t xml:space="preserve">Uzm. Dr. Yalçın Tan </t>
  </si>
  <si>
    <t>212 251 52 62</t>
  </si>
  <si>
    <t xml:space="preserve">Kuloğlu Mah. Sıraselviler Cad. No:68/4 </t>
  </si>
  <si>
    <t>Beyoğlu</t>
  </si>
  <si>
    <t>Uzm. Dr. Asuman Akça</t>
  </si>
  <si>
    <t>212 256 13 12</t>
  </si>
  <si>
    <t>532 264 14 44</t>
  </si>
  <si>
    <t>Bahriye C. Çiviciler S. No:9/1</t>
  </si>
  <si>
    <t>Kasımpaşa</t>
  </si>
  <si>
    <t>Doç. Dr. Hamit Doğan Ziya Başak</t>
  </si>
  <si>
    <t>212 251 83 69</t>
  </si>
  <si>
    <t>532 212 27 94</t>
  </si>
  <si>
    <t>Taksim İnönü Cad. Akun Apt. No:49/1Gümüşsuyu</t>
  </si>
  <si>
    <t>Taksim</t>
  </si>
  <si>
    <t>Uzm. Dr. Hakan Akalan</t>
  </si>
  <si>
    <t xml:space="preserve">212 243 12 63        </t>
  </si>
  <si>
    <t xml:space="preserve">532 510 66 17       </t>
  </si>
  <si>
    <t xml:space="preserve">İstiklal Cad. Emgen Han No:47 Kat:1 Beyoğlu </t>
  </si>
  <si>
    <t>Uzm. Dr. Serap Gülçür</t>
  </si>
  <si>
    <t>212 669 57 57</t>
  </si>
  <si>
    <t>532 313 39 52</t>
  </si>
  <si>
    <t>Defne 02.03 B - 10 Yönetim Odası</t>
  </si>
  <si>
    <t>Bahçeşehir</t>
  </si>
  <si>
    <t>Büyükçekmece</t>
  </si>
  <si>
    <t>Uzm. Dr. Ülkü Duraksoy</t>
  </si>
  <si>
    <t xml:space="preserve">212 871 52 52                                   </t>
  </si>
  <si>
    <t xml:space="preserve">533 240 91 21                                   </t>
  </si>
  <si>
    <t>Büyükşehir Mah. Cumhuriyet Cad. Ekinoks Rezidans E1 Blok K:9 D:143</t>
  </si>
  <si>
    <t xml:space="preserve">Uzm. Dr. Ali Cüneyt Uygur </t>
  </si>
  <si>
    <t>212 881 93 60</t>
  </si>
  <si>
    <t>532 245 34 15</t>
  </si>
  <si>
    <t xml:space="preserve">Fatih Mah. Adnan Kahveci Cad. No:2/10 </t>
  </si>
  <si>
    <t>Uzm. Dr. Ayşe Müge Kardaş</t>
  </si>
  <si>
    <t>212 322 29 21</t>
  </si>
  <si>
    <t>532 382 08 88</t>
  </si>
  <si>
    <t xml:space="preserve">Merkez Mah. Belediye Cad. Çam Güzeli Sk. No:3 D:4 Göktürk Beldesi </t>
  </si>
  <si>
    <t>Kemerburgaz</t>
  </si>
  <si>
    <t>Eyüp</t>
  </si>
  <si>
    <t>Uzm.Dr. Nurdan Keskin</t>
  </si>
  <si>
    <t>212 534 04 05</t>
  </si>
  <si>
    <t>532 261 44 34</t>
  </si>
  <si>
    <t>Molla Gürani Mah. Oğuzhan Cad. Çınar Apt. No:14\3</t>
  </si>
  <si>
    <t>Fatih</t>
  </si>
  <si>
    <t>Uzm. Dr. Ayhan Türkdoğan</t>
  </si>
  <si>
    <t xml:space="preserve">212 632 92 94                                   </t>
  </si>
  <si>
    <t xml:space="preserve">537 746 92 94                                   </t>
  </si>
  <si>
    <t>Molla Gürani Mah.Turgut Özal Millet Cad.No:48 D:11</t>
  </si>
  <si>
    <t>Haseki</t>
  </si>
  <si>
    <t xml:space="preserve">Fatih </t>
  </si>
  <si>
    <t>Uzm.Dr. Zümrüt Çelebi</t>
  </si>
  <si>
    <t xml:space="preserve">212 564 07 34 </t>
  </si>
  <si>
    <t>535 776 95 83</t>
  </si>
  <si>
    <t>Halit Paşa C. No:35/7</t>
  </si>
  <si>
    <t>Gaziosmanpaşa</t>
  </si>
  <si>
    <t>Prof.Dr. Öncel Koca</t>
  </si>
  <si>
    <t>216 418 12 06</t>
  </si>
  <si>
    <t>532 247 36 10</t>
  </si>
  <si>
    <t>Beşduyu Sağlık Hizmetleri Bahariye Caddesi No:48/2</t>
  </si>
  <si>
    <t>Bahariye</t>
  </si>
  <si>
    <t>Kadıköy</t>
  </si>
  <si>
    <t>Uzm.Dr. Akif Alkan</t>
  </si>
  <si>
    <t>216 345 53 14</t>
  </si>
  <si>
    <t>532 612 97 79</t>
  </si>
  <si>
    <t>Bahariye Caddesi No:25/1</t>
  </si>
  <si>
    <t>Uzm.Dr.İnci Koca</t>
  </si>
  <si>
    <t xml:space="preserve">216 336 01 87                                   </t>
  </si>
  <si>
    <t xml:space="preserve">538 632 37 73                                   </t>
  </si>
  <si>
    <t>Bahariye Cad.No.48/2</t>
  </si>
  <si>
    <t xml:space="preserve">Doç. Dr. Serdar Baki Albayrak </t>
  </si>
  <si>
    <t xml:space="preserve">216 658 80 25                                   </t>
  </si>
  <si>
    <t xml:space="preserve">532 308 97 72                                   </t>
  </si>
  <si>
    <t>Mehmet Akif Ersoy Sok. No:2/K-1</t>
  </si>
  <si>
    <t>Bostancı</t>
  </si>
  <si>
    <t>Uzm. Dr. Makbule Laçinyurt Özkan</t>
  </si>
  <si>
    <t>216 372 50 00</t>
  </si>
  <si>
    <t>532 422 50 05</t>
  </si>
  <si>
    <t>Şemsettin Günaltay C. No:16/6</t>
  </si>
  <si>
    <t>Doç Dr. Cemil Ateş Yanyalı</t>
  </si>
  <si>
    <t xml:space="preserve">216 386 37 00      </t>
  </si>
  <si>
    <t xml:space="preserve">532 595 20 21         </t>
  </si>
  <si>
    <t xml:space="preserve">Bağdat Cad. No:302 Alantar Apt. No:6 </t>
  </si>
  <si>
    <t>Caddebostan</t>
  </si>
  <si>
    <t>Doç. Dr. Adnan Gökçel</t>
  </si>
  <si>
    <t>216 302 79 80</t>
  </si>
  <si>
    <t>532 284 30 54</t>
  </si>
  <si>
    <t>Caddebostan Mah. Cemil Topuzlu Cad.No:59</t>
  </si>
  <si>
    <t xml:space="preserve">Prof.Dr. Ahmet Kemal Gürbüz </t>
  </si>
  <si>
    <t>216 414 58 17</t>
  </si>
  <si>
    <t>Orçun Apt. No:259 Kat:3  Bağdat Caddesi</t>
  </si>
  <si>
    <t>Uzm. Dr. Aykut Coşkun</t>
  </si>
  <si>
    <t>216 386 66 86</t>
  </si>
  <si>
    <t>532 616 24 40</t>
  </si>
  <si>
    <t xml:space="preserve">Feminart Kadın Sağlığı Merkezi Bağdat C. No:305 Muhtar Özkaya Sitesi A Blok K:2 D:4 </t>
  </si>
  <si>
    <t xml:space="preserve">Uzm.Dr. Bilge Huriye Kayıran </t>
  </si>
  <si>
    <t>216 411 91 16</t>
  </si>
  <si>
    <t>532 291 40 39</t>
  </si>
  <si>
    <t>Özel Minimed Polikliniği MİNİMED Bağdat C. No:296/3</t>
  </si>
  <si>
    <t>Uzm.Dr. Erhan Ateş</t>
  </si>
  <si>
    <t>542 671 10 94</t>
  </si>
  <si>
    <t>Uzm.Dr. F. Nuran Doğruer</t>
  </si>
  <si>
    <t xml:space="preserve">216 467 49 50 </t>
  </si>
  <si>
    <t>532 683 93 33</t>
  </si>
  <si>
    <t>Duyu Sağlık Hizmetleri DUYU Bağdat C. N:279 K:4 D:8</t>
  </si>
  <si>
    <t>Uzm.Dr. Hakan Akyol</t>
  </si>
  <si>
    <t>532 272 23 73</t>
  </si>
  <si>
    <t>Uzm. Dr. Sema Özörnek</t>
  </si>
  <si>
    <t>216 355 21 03</t>
  </si>
  <si>
    <t>532 370 59 44</t>
  </si>
  <si>
    <t>Fenerbahçe Mah. Dr. Cemil Topuzlu Cad. Mahur Sok. No:12 D:3</t>
  </si>
  <si>
    <t>Uzm. Dr.Timur Timurkaynak</t>
  </si>
  <si>
    <t xml:space="preserve">216 350 00 81                                   </t>
  </si>
  <si>
    <t xml:space="preserve">533 629 34 63                                   </t>
  </si>
  <si>
    <t>Caddebostan Mah. Bağdat Caddesi No:302/1 D:6</t>
  </si>
  <si>
    <t>Uzm.Dr.Adnan Fatih Kesen</t>
  </si>
  <si>
    <t>216 356 19 90</t>
  </si>
  <si>
    <t>532 568 73 63</t>
  </si>
  <si>
    <t>Caddebostan Mah.Bağdat Cad.Şimşek Sok.No:2/4</t>
  </si>
  <si>
    <t>Uzm.Dr.Metin Kuş</t>
  </si>
  <si>
    <t>216 358 42 44</t>
  </si>
  <si>
    <t>532 263 80 80</t>
  </si>
  <si>
    <t xml:space="preserve">Uzm.Dr. Günnur Önarslan </t>
  </si>
  <si>
    <t>2163689428</t>
  </si>
  <si>
    <t xml:space="preserve">Bağdat Cad. Hamam Sok. No:9/2   </t>
  </si>
  <si>
    <t xml:space="preserve">Caddebostan </t>
  </si>
  <si>
    <t xml:space="preserve">Doç. Dr. Kadir Kotil </t>
  </si>
  <si>
    <t xml:space="preserve">216 360 12 26                                   </t>
  </si>
  <si>
    <t xml:space="preserve">532 262 81 70                                   </t>
  </si>
  <si>
    <t>Bağdat Cad. Konak Apt. No:189/6 K:7</t>
  </si>
  <si>
    <t>Çiftehavuzlar</t>
  </si>
  <si>
    <t>Doç. Dr. Zehra Serdar</t>
  </si>
  <si>
    <t>216 357 52 00</t>
  </si>
  <si>
    <t>542 453 05 48</t>
  </si>
  <si>
    <t>Bağdat Cad. Çiftehavuzlar Ap. No:207/6</t>
  </si>
  <si>
    <t>Prof. Dr. Mehmet Nevzat Akyatan</t>
  </si>
  <si>
    <t>216 369 96 62</t>
  </si>
  <si>
    <t>532 498 48 48</t>
  </si>
  <si>
    <t>Bağdat C. No:203/6</t>
  </si>
  <si>
    <t xml:space="preserve">Prof. Dr. Zeynep Özlem Demirçay </t>
  </si>
  <si>
    <t xml:space="preserve">216 368 90 58                                   </t>
  </si>
  <si>
    <t xml:space="preserve">532 658 10 28                                   </t>
  </si>
  <si>
    <t xml:space="preserve">Bağdat Cad. Konak Apt. No:189/6 </t>
  </si>
  <si>
    <t xml:space="preserve">Uzm. Dr. Ekrem L.Duman </t>
  </si>
  <si>
    <t>216 467 38 99</t>
  </si>
  <si>
    <t>532 424 24 29</t>
  </si>
  <si>
    <t xml:space="preserve">Duman Sağlık Hizmetleri Bağdat C. N:189/6 K:3   </t>
  </si>
  <si>
    <t>Uzm. Dr. Ümit Yaşar Çelemli</t>
  </si>
  <si>
    <t>216 302 00 82</t>
  </si>
  <si>
    <t>532 317 89 43</t>
  </si>
  <si>
    <t>Yazmacı Tahir Sok. Medirek Apt. No:48 K:1 D:13 Bostancı İDO Deniz Otobüs İskelesi Karşısı</t>
  </si>
  <si>
    <t>Uzm. Dr.Gülay Kara</t>
  </si>
  <si>
    <t>216 411 61 58</t>
  </si>
  <si>
    <t>532 344 86 64</t>
  </si>
  <si>
    <t>Bağdat C. N:193/12</t>
  </si>
  <si>
    <t>Uzm.Dr.Deniz Gökalp Kaya</t>
  </si>
  <si>
    <t>216 478 24 86</t>
  </si>
  <si>
    <t>533 384 21 78</t>
  </si>
  <si>
    <t>Bağdat Cad. Konak Apt. No:189/ K:2 D:5</t>
  </si>
  <si>
    <t>Prof Dr.Nadire Berker</t>
  </si>
  <si>
    <t xml:space="preserve">216 363 03 04                                   </t>
  </si>
  <si>
    <t>Anka Sağlık Hizmetleri Bağdat Cad. Çubukçu Apt. No:361 K:4 D:8</t>
  </si>
  <si>
    <t>Erenköy</t>
  </si>
  <si>
    <t>Prof.Dr.Zerrin Pelin</t>
  </si>
  <si>
    <t>216 360 21 07</t>
  </si>
  <si>
    <t>532 373 40 69</t>
  </si>
  <si>
    <t>Fahrettin Kerim Gökay Cad.Dr.Mithat Süer Sok.No:1/14</t>
  </si>
  <si>
    <t>Uzm. Dr. A. Emre İlhan</t>
  </si>
  <si>
    <t>216 355 50 05</t>
  </si>
  <si>
    <t>532 645 94 38</t>
  </si>
  <si>
    <t>Bağdat Cad. Huzur Apt.No:342 D:9</t>
  </si>
  <si>
    <t>Uzm. Dr. Ahmet Arda Lembet</t>
  </si>
  <si>
    <t>216 302 61 61</t>
  </si>
  <si>
    <t xml:space="preserve">Bağdat Caddesi Topçuoğlu No:323A D:9 </t>
  </si>
  <si>
    <t>Uzm. Dr. İrfan Gözübüyük</t>
  </si>
  <si>
    <t>216 467 51 75</t>
  </si>
  <si>
    <t>532 251 55 90</t>
  </si>
  <si>
    <t xml:space="preserve"> Fahrettin Kerim Gökay C. No:288/15</t>
  </si>
  <si>
    <t>Uzm. Dr. Lütfü Cem Demirel</t>
  </si>
  <si>
    <t>Uzm. Dr. Nafiz Eren</t>
  </si>
  <si>
    <t>216 363 40 90</t>
  </si>
  <si>
    <t>532 795 67 22</t>
  </si>
  <si>
    <t>Tepegöz Sokak. Göztepe Mah. 28/3</t>
  </si>
  <si>
    <t>Uzm. Dr. Tolga Ergin</t>
  </si>
  <si>
    <t>Prof.Dr.Ali Fuat Demirci</t>
  </si>
  <si>
    <t xml:space="preserve">216 338 55 02                                   </t>
  </si>
  <si>
    <t xml:space="preserve">532 213 72 91                                   </t>
  </si>
  <si>
    <t>Kalamış Fener Cad.Billur Apt.No:5 D:15</t>
  </si>
  <si>
    <t xml:space="preserve">Fenerbahçe </t>
  </si>
  <si>
    <t>Prof.Dr.M.Vedat Atay</t>
  </si>
  <si>
    <t>538 553 39 51</t>
  </si>
  <si>
    <t>Fenerbahçe Mah.Fener Kalamış Cad.Barış Apt.No:15/3</t>
  </si>
  <si>
    <t xml:space="preserve">Prof. Dr. Melih Hamdi Ünal </t>
  </si>
  <si>
    <t xml:space="preserve">216 385 99 35                             </t>
  </si>
  <si>
    <t xml:space="preserve">533 572 78 18                                    </t>
  </si>
  <si>
    <t>Feneryolu Mah.Bağdat Cad. Kamran Apt. No:190 D:5 K</t>
  </si>
  <si>
    <t xml:space="preserve">Feneryolu </t>
  </si>
  <si>
    <t>Prof.Dr.Cengiz Pata</t>
  </si>
  <si>
    <t xml:space="preserve">216 410 88 68                                   </t>
  </si>
  <si>
    <t xml:space="preserve">539 696 82 41                                   </t>
  </si>
  <si>
    <t xml:space="preserve">Fenerbahçe Mah. Bağdat Cad. Çınar Apt. No:144 D:5 </t>
  </si>
  <si>
    <t xml:space="preserve">Uzm. Dr. Haluk Balçık </t>
  </si>
  <si>
    <t xml:space="preserve">216 385 04 27                                   </t>
  </si>
  <si>
    <t xml:space="preserve">532 321 83 04                                   </t>
  </si>
  <si>
    <t>Merdivenköy Mah. Şahir Arşi Cad. No:6</t>
  </si>
  <si>
    <t>Göztepe</t>
  </si>
  <si>
    <t>Uzm. Dr. Şebnem Ergüler Yılmaz</t>
  </si>
  <si>
    <t>216 357 29 99</t>
  </si>
  <si>
    <t>532 414 25 11</t>
  </si>
  <si>
    <t>Göztepe Mah.Fahrettin Kerim Gökay Cad. No:260/5</t>
  </si>
  <si>
    <t>Doç.Dr.Yusuf Kemal Durlu</t>
  </si>
  <si>
    <t>216 567 30 30</t>
  </si>
  <si>
    <t>533 460 25 69</t>
  </si>
  <si>
    <t>Göztepe Mah.Fahrettin Kerim Gökay Cad. D:1/5</t>
  </si>
  <si>
    <t>Prof.Dr.Sinan Ekici</t>
  </si>
  <si>
    <t xml:space="preserve">216 446 38 38                                   </t>
  </si>
  <si>
    <t xml:space="preserve">532 473 84 54                                   </t>
  </si>
  <si>
    <t xml:space="preserve">Caddebostan Mah. Bağdat Cad. Şimşek Sok. No:2 D:2 </t>
  </si>
  <si>
    <t>Doç. Dr. Dursun Duman</t>
  </si>
  <si>
    <t xml:space="preserve">216 640 20 61     </t>
  </si>
  <si>
    <t xml:space="preserve">Bağdat Cad. Plaza 215 No:191 D:2  </t>
  </si>
  <si>
    <t xml:space="preserve">Doç.Dr. M. Necmettin Atsü </t>
  </si>
  <si>
    <t>532 372 80 47</t>
  </si>
  <si>
    <t xml:space="preserve">Kadiköy Mah. Mehmet Akfan Sok. No:11-13 D:1 </t>
  </si>
  <si>
    <t>Prof Dr.Suphi Acar</t>
  </si>
  <si>
    <t xml:space="preserve">216 411 78 25                                   </t>
  </si>
  <si>
    <t xml:space="preserve">532 234 44 34                                   </t>
  </si>
  <si>
    <t>Bağdat Cad.Çim Apt.A Blok No:119</t>
  </si>
  <si>
    <t>Prof. Dr. Fatih Durmuşoğlu</t>
  </si>
  <si>
    <t>216 386 73 73</t>
  </si>
  <si>
    <t xml:space="preserve">Caddebostan Mah. Ada Sokak No:2/3 </t>
  </si>
  <si>
    <t>Prof.Dr Hasan Candan</t>
  </si>
  <si>
    <t xml:space="preserve">216 347 92 45 </t>
  </si>
  <si>
    <t>Caferağa Mah. General Asım Gündüz Caddesi No:38 D:4</t>
  </si>
  <si>
    <t>Uzm.Dr.Hatice Nükhet Tankurt</t>
  </si>
  <si>
    <t>216 345 83 38</t>
  </si>
  <si>
    <t xml:space="preserve">533 612 60 14                                   </t>
  </si>
  <si>
    <t>Caferağa Mah. General Asım Gündüz Caddesi No:69 D:3</t>
  </si>
  <si>
    <t>Prof.Dr İsmail Göçmen</t>
  </si>
  <si>
    <t>216 414 44 21</t>
  </si>
  <si>
    <t>533 320 02 72</t>
  </si>
  <si>
    <t>Osmanağa Mah.Kuşdili Cad. Azam Palas Apt. No:47/6</t>
  </si>
  <si>
    <t xml:space="preserve">Prof.Dr. Mesih Kuşkucu </t>
  </si>
  <si>
    <t xml:space="preserve">216 359 87 78                                   </t>
  </si>
  <si>
    <t xml:space="preserve">532 215 46 08                                   </t>
  </si>
  <si>
    <t xml:space="preserve">Bağdat Cad.No:264 D:21   </t>
  </si>
  <si>
    <t>Uzm.Dr. Handan Özkaya Tuğrul</t>
  </si>
  <si>
    <t xml:space="preserve">216 330 15 15     </t>
  </si>
  <si>
    <t xml:space="preserve">Bağdat Cad. No:52/3 </t>
  </si>
  <si>
    <t>Uzm. Dr. Sedef Altınışık</t>
  </si>
  <si>
    <t xml:space="preserve">216 546 00 65                                   </t>
  </si>
  <si>
    <t xml:space="preserve">532 220 74 86                                   </t>
  </si>
  <si>
    <t>Koşuyolu Mah. Muhittin Üstündağ Cad. No:31 K:1 D:3</t>
  </si>
  <si>
    <t xml:space="preserve">Uzm.Dr. Fügen Erdoğan Çekin </t>
  </si>
  <si>
    <t>2163846262</t>
  </si>
  <si>
    <t xml:space="preserve">Ayşe Cavuş Cad.Kitapçı Sk No:14/1 D:1-2-3   </t>
  </si>
  <si>
    <t xml:space="preserve">Uzm.Dr. Gözen Serdaroğlu </t>
  </si>
  <si>
    <t>216 347 26 29</t>
  </si>
  <si>
    <t xml:space="preserve">Bahariye Cad. Sokullu Sok No:2/1   </t>
  </si>
  <si>
    <t>Uzm.Dr. Hatice Karaböcüoğlu</t>
  </si>
  <si>
    <t>216 369 91 87</t>
  </si>
  <si>
    <t xml:space="preserve">Ethemefendi Cad. No:1 K:3 D:6   </t>
  </si>
  <si>
    <t xml:space="preserve">Uzm.Dr. Leyla Gümüşlü </t>
  </si>
  <si>
    <t>216 369 12 01</t>
  </si>
  <si>
    <t xml:space="preserve">Bağdat Cad. Rıfatbey Sok. Güngören Apt. No:2/4-8 </t>
  </si>
  <si>
    <t xml:space="preserve">Uzm.Dr. Mustafa Rumelili </t>
  </si>
  <si>
    <t>532 217 27 48</t>
  </si>
  <si>
    <t xml:space="preserve">Bahariye Cad. Süleymanpaş A Sok. No:1/1   </t>
  </si>
  <si>
    <t xml:space="preserve">Uzm.Dr. Okşan Erdoğan </t>
  </si>
  <si>
    <t>216 449 22 22</t>
  </si>
  <si>
    <t>Caferağa Mah.Sakız Sok. No:7</t>
  </si>
  <si>
    <t xml:space="preserve">Uzm.Dr. S. Altan Yaşar </t>
  </si>
  <si>
    <t>216 368 77 69</t>
  </si>
  <si>
    <t xml:space="preserve">Bağdat Cad. No:189/7   </t>
  </si>
  <si>
    <t xml:space="preserve">Uzm.Dr. Yusuf Can </t>
  </si>
  <si>
    <t>216 478 11 97</t>
  </si>
  <si>
    <t xml:space="preserve">Bağdat Cad. Beyaz Apt. No:339/7   </t>
  </si>
  <si>
    <t>Uzm.Dr A. Murat Emanetoğlu</t>
  </si>
  <si>
    <t>216 368 02 91</t>
  </si>
  <si>
    <t>532 212 58 00</t>
  </si>
  <si>
    <t>Koşuyolu Mah. Mehmet Akfan Sokak NO:13-15 D:5</t>
  </si>
  <si>
    <t>Uzm. Dr. Ertunç Mega</t>
  </si>
  <si>
    <t>216 346 88 54</t>
  </si>
  <si>
    <t xml:space="preserve">JDK Sağlık Hizmetleri Fener Kalamış Cad. Ulus Apt. No:7/1 </t>
  </si>
  <si>
    <t>Kalamış</t>
  </si>
  <si>
    <t>Uzm. Dr. Nimet Gül Yavuzer</t>
  </si>
  <si>
    <t>Uzm. Dr. Gündüz Yavuzer</t>
  </si>
  <si>
    <t>216 330 00 66</t>
  </si>
  <si>
    <t>542 213 11 08</t>
  </si>
  <si>
    <t xml:space="preserve">Bağdat C N:69/7                       </t>
  </si>
  <si>
    <t>Kızıltoprak</t>
  </si>
  <si>
    <t>Uzm. Dr. Havva Gonca Tamer</t>
  </si>
  <si>
    <t>Endokrinoloji</t>
  </si>
  <si>
    <t xml:space="preserve">216 338 58 59         </t>
  </si>
  <si>
    <t xml:space="preserve">538 284 78 47      </t>
  </si>
  <si>
    <t>Fener Kalamış Cad. No:10/6</t>
  </si>
  <si>
    <t>Prof.Dr.Ahmet Fatih Parmaksızoğlu</t>
  </si>
  <si>
    <t xml:space="preserve">216 428 00 01                                   </t>
  </si>
  <si>
    <t xml:space="preserve">533 608 69 69                                   </t>
  </si>
  <si>
    <t xml:space="preserve">Koşuyolu Mah. Muhittin Üstündağ Caddesi No:25 </t>
  </si>
  <si>
    <t>Koşuyolu</t>
  </si>
  <si>
    <t>Prof.Dr.Serdar Kahraman</t>
  </si>
  <si>
    <t xml:space="preserve">532 713 80 10                                   </t>
  </si>
  <si>
    <t>Koşuyolu Mah.Muhittin Üstündağ Cad.No:25</t>
  </si>
  <si>
    <t>Uzm. Dr. Ayşe Aytöz</t>
  </si>
  <si>
    <t>216 428 76 27</t>
  </si>
  <si>
    <t>Koşuyolu Cad. No:30</t>
  </si>
  <si>
    <t>Uzm.Dr. Bahar Çağlar</t>
  </si>
  <si>
    <t xml:space="preserve">505 450 98 96                                   </t>
  </si>
  <si>
    <t xml:space="preserve">505 471 70 02                                   </t>
  </si>
  <si>
    <t>Koşuyolu Mah. Muhittin Üstündağ Cad. No:31  D:1</t>
  </si>
  <si>
    <t>Uzm.Dr. Bülent Arslan</t>
  </si>
  <si>
    <t xml:space="preserve">216 339 63 59   </t>
  </si>
  <si>
    <t xml:space="preserve">532 632 66 92         </t>
  </si>
  <si>
    <t xml:space="preserve">Koşuyolu Mah. Kalfaçeşme Sok. No:12 K:3 </t>
  </si>
  <si>
    <t xml:space="preserve">Uzm. Dr. Coşkun Şanverdi </t>
  </si>
  <si>
    <t xml:space="preserve">216 340 84 24           </t>
  </si>
  <si>
    <t xml:space="preserve">532 344 74 77                </t>
  </si>
  <si>
    <t>Koşuyolu Cad. No:20</t>
  </si>
  <si>
    <t>Uzm. Dr. Hatice Tigin Özcan</t>
  </si>
  <si>
    <t>Koşuyolu Cad. No:34</t>
  </si>
  <si>
    <t>Uzm. Dr. İhsan Arkun Hanlıoğlu</t>
  </si>
  <si>
    <t>Koşuyolu Cad. No:32</t>
  </si>
  <si>
    <t>Uzm. Dr. Mehmet Öztürk Karabey</t>
  </si>
  <si>
    <t>Koşuyolu Cad. No:31</t>
  </si>
  <si>
    <t>Uzm. Dr. Sami Sedat Varol</t>
  </si>
  <si>
    <t>Koşuyolu Cad. No:33</t>
  </si>
  <si>
    <t>Uzm. Dr. Selma Nihan Karakaya</t>
  </si>
  <si>
    <t xml:space="preserve">533 463 69 69                                   </t>
  </si>
  <si>
    <t>Uzm. Dr. Ufuk Ali Kumru</t>
  </si>
  <si>
    <t>Koşuyolu Cad. No:29</t>
  </si>
  <si>
    <t>Uzm. Dr. Ümit Şen</t>
  </si>
  <si>
    <t>Koşuyolu Cad. No:35</t>
  </si>
  <si>
    <t xml:space="preserve">Uzm.Dr. Özlem Ketenci Altıkardeşler </t>
  </si>
  <si>
    <t xml:space="preserve">533 558 98 78                                   </t>
  </si>
  <si>
    <t>Muhittin Üstündağ Cad.No.31</t>
  </si>
  <si>
    <t>Uzm.Dr.Gülden Paşaoğlu Karakış</t>
  </si>
  <si>
    <t xml:space="preserve">216 428 38 32                                </t>
  </si>
  <si>
    <t xml:space="preserve">532 343 96 66                                   </t>
  </si>
  <si>
    <t>Acıbadem Mah.Çeçen Sok.Akasya AVM A Kule K:21 D:97</t>
  </si>
  <si>
    <t>Uzm. Dr. Ümit Kaya</t>
  </si>
  <si>
    <t xml:space="preserve">533 209 90 43        </t>
  </si>
  <si>
    <t xml:space="preserve">Mehmet Akfan Sok. No:13-15 D:5  </t>
  </si>
  <si>
    <t xml:space="preserve">Koşuyolu </t>
  </si>
  <si>
    <t>Uzm. Dr. Hüseyin Kösoğlu</t>
  </si>
  <si>
    <t xml:space="preserve">216 411 72 18                                   </t>
  </si>
  <si>
    <t xml:space="preserve">532 213 54 51                                   </t>
  </si>
  <si>
    <t>Fahrettin Kerim Gökay Cad. No:274/22</t>
  </si>
  <si>
    <t>Sahrayıcedid</t>
  </si>
  <si>
    <t>Uzm. Dr. Murat Dülger</t>
  </si>
  <si>
    <t xml:space="preserve">216 357 16 65/ 216 302 03 71 </t>
  </si>
  <si>
    <t>542 563 11 48/532 576 25 00</t>
  </si>
  <si>
    <t>F.Kerim Gökay Cd. Özcanlar Ap. 289/12</t>
  </si>
  <si>
    <t>Uzm. Dr. Orhan  Buzcu</t>
  </si>
  <si>
    <t>532 254 00 11</t>
  </si>
  <si>
    <t>F.Kerim Gökay Cd. Özcanlar Ap. No:289/12</t>
  </si>
  <si>
    <t>Uzm. Dr. Zermine Büyükkeçeci</t>
  </si>
  <si>
    <t>216 467 36 27</t>
  </si>
  <si>
    <t>532 433 41 15</t>
  </si>
  <si>
    <t>Bağdat C. No:179/10</t>
  </si>
  <si>
    <t>Selamiçeşme</t>
  </si>
  <si>
    <t>Doç.Dr. İbrahim Çevik</t>
  </si>
  <si>
    <t xml:space="preserve">216 372 60 60                                   </t>
  </si>
  <si>
    <t xml:space="preserve">533 557 35 73                                   </t>
  </si>
  <si>
    <t xml:space="preserve">Ürotıp Üroloji Tanı Merkezi            Bağdat Cad. No:448 K:1 D:1 </t>
  </si>
  <si>
    <t>Suadiye</t>
  </si>
  <si>
    <t>Doç.Dr. Tayfun Aköz</t>
  </si>
  <si>
    <t>216 478 14 84</t>
  </si>
  <si>
    <t>532 426 45 85</t>
  </si>
  <si>
    <t>Bağdat C. N:431/5</t>
  </si>
  <si>
    <t>Prof.Dr. Atıf Akdaş</t>
  </si>
  <si>
    <t>533 557 35 73</t>
  </si>
  <si>
    <t>Uz.Dr.Mine Tüzel Eğilmez</t>
  </si>
  <si>
    <t xml:space="preserve">216 372 72 47                                   </t>
  </si>
  <si>
    <t xml:space="preserve">532 442 20 95                                   </t>
  </si>
  <si>
    <t>Suadiye Mah.Bağdat Cad.Veli Güney Sulu Apt.No:453/3</t>
  </si>
  <si>
    <t xml:space="preserve">Uzm. Dr. İlknur Aköz </t>
  </si>
  <si>
    <t>532 436 70 60</t>
  </si>
  <si>
    <t>Uzm. Dr. Rauf Tahamiler</t>
  </si>
  <si>
    <t>216 362 72 72</t>
  </si>
  <si>
    <t>532 271 14 00</t>
  </si>
  <si>
    <t xml:space="preserve">Şehit Evliya Sok. Güzel Apt. No:22 D:7 </t>
  </si>
  <si>
    <t xml:space="preserve">Suadiye </t>
  </si>
  <si>
    <t>Uzm.Dr. Abdülkadir Göksel</t>
  </si>
  <si>
    <t xml:space="preserve">216 369 93 00                                   </t>
  </si>
  <si>
    <t xml:space="preserve">532 426 32 44                  </t>
  </si>
  <si>
    <t xml:space="preserve">Bağdat Cad. Zümrüt Apt. No:378 K:1 D:5 </t>
  </si>
  <si>
    <t xml:space="preserve">Şaşkınbakkal </t>
  </si>
  <si>
    <t xml:space="preserve">Uzm. Dr. Gülşen Gökçe </t>
  </si>
  <si>
    <t>216 306 69 89</t>
  </si>
  <si>
    <t>542 416 22 21</t>
  </si>
  <si>
    <t>Üsküdar Cad. Morkaya Apt.No:152/6</t>
  </si>
  <si>
    <t>Atalar</t>
  </si>
  <si>
    <t>Kartal</t>
  </si>
  <si>
    <t xml:space="preserve">Uzm. Dr. Handan Aytaç Özkul </t>
  </si>
  <si>
    <t xml:space="preserve">216 474 81 77                                   </t>
  </si>
  <si>
    <t xml:space="preserve">Petrol- İş Mah. Üsküdar Cad. Eren Apt. No:58/5 </t>
  </si>
  <si>
    <t>Uzm. Dr. İsmail Doğancalı</t>
  </si>
  <si>
    <t>212 580 69 20</t>
  </si>
  <si>
    <t>532 281 01 52</t>
  </si>
  <si>
    <t>Halkalı Cad. Özbey Sok. Genç İşhanı No:119/25-31</t>
  </si>
  <si>
    <t>Sefaköy</t>
  </si>
  <si>
    <t>Küçükçekmece</t>
  </si>
  <si>
    <t>Uzm. Dr. Şerare Moridi</t>
  </si>
  <si>
    <t>216 417 66 40</t>
  </si>
  <si>
    <t>532 335 57 59</t>
  </si>
  <si>
    <t>Pers Sağlık Hizmetleri Bağdat C. Nokta Apt. No:42/5</t>
  </si>
  <si>
    <t>Altıntepe</t>
  </si>
  <si>
    <t>Maltepe</t>
  </si>
  <si>
    <t>Uzm. Dr. Ali Rıza Sözenoğlu</t>
  </si>
  <si>
    <t>216 399 19 81</t>
  </si>
  <si>
    <t>533 817 65 22</t>
  </si>
  <si>
    <t>Kado Sağlık Hizmetleri Bağdat Cad. Feyzullah Mah.Adatepe İş Merk.No:276 K:2 D:18</t>
  </si>
  <si>
    <t>Uzm. Dr. Fevziye Gül Özkaya</t>
  </si>
  <si>
    <t>216 305 91 30</t>
  </si>
  <si>
    <t>532 287 15 96</t>
  </si>
  <si>
    <t>Bağlarbaşı Mah.Bağdat Cad.Gedik İşmerkezi No:414 D:17</t>
  </si>
  <si>
    <t xml:space="preserve">Uzm.Dr. Meltem Özkan </t>
  </si>
  <si>
    <t>216 441 25 27</t>
  </si>
  <si>
    <t xml:space="preserve">Bağdat Cad. Gedik İş Mrk. No:414 A Blok D:8   </t>
  </si>
  <si>
    <t>Uzm.Dr.Öznur Abadoğlu</t>
  </si>
  <si>
    <t xml:space="preserve">216 399 92 50                                   </t>
  </si>
  <si>
    <t xml:space="preserve">532 648 66 44                                   </t>
  </si>
  <si>
    <t>Feyzullah MAH. Bağdat Caddesi NO:276 D:9</t>
  </si>
  <si>
    <t>Uzm. Dr. Hidayet Gürsoy</t>
  </si>
  <si>
    <t>216 354 05 35</t>
  </si>
  <si>
    <t>505 247 72 65</t>
  </si>
  <si>
    <t xml:space="preserve">Doğu Mah. Değerli Sok. Baba Apt. No:22/2 </t>
  </si>
  <si>
    <t>Pendik</t>
  </si>
  <si>
    <t>Uzm. Dr. Hikmet Dulundu</t>
  </si>
  <si>
    <t>216 390 35 65</t>
  </si>
  <si>
    <t>532 611 05 83</t>
  </si>
  <si>
    <t>Seyit Burhan Toprak C. No:14/2</t>
  </si>
  <si>
    <t>Uzm. Dr. Hüsniye N. Şahin</t>
  </si>
  <si>
    <t xml:space="preserve">216 491 54 91                                   </t>
  </si>
  <si>
    <t>Özel İmge Sağlık Hizm. San. Tic. Ltd. Şti. Batı Mah. Vişne Sok. No:2/3</t>
  </si>
  <si>
    <t xml:space="preserve">Uzm. Dr. Serdar Şahin </t>
  </si>
  <si>
    <t xml:space="preserve">532 251 47 37                                   </t>
  </si>
  <si>
    <t>Uzm.Dr.Leyla Kandur</t>
  </si>
  <si>
    <t xml:space="preserve">212 229 70 77                                   </t>
  </si>
  <si>
    <t xml:space="preserve">535 896 55 50                                   </t>
  </si>
  <si>
    <t>Reşitpaşa Mah.Sezaibey Sok.No:77</t>
  </si>
  <si>
    <t>Emirgan</t>
  </si>
  <si>
    <t>Sarıyer</t>
  </si>
  <si>
    <t>Uzm.Dr. Vedat Mizrahi</t>
  </si>
  <si>
    <t xml:space="preserve">212 277 92 55 </t>
  </si>
  <si>
    <t>532 314 24 82</t>
  </si>
  <si>
    <t>Balabandere Cad. Seba Rezidance Sitesi E Blok D:12</t>
  </si>
  <si>
    <t>İstinye</t>
  </si>
  <si>
    <t xml:space="preserve">Uzm.Dr. Rami Asker </t>
  </si>
  <si>
    <t xml:space="preserve">212 278 16 48                                   </t>
  </si>
  <si>
    <t xml:space="preserve">544 326 86 86                                   </t>
  </si>
  <si>
    <t xml:space="preserve">Maslak Mah. Dereboyu Cad. Maslak Meydan Sokak No:3 D:83 </t>
  </si>
  <si>
    <t>Maslak</t>
  </si>
  <si>
    <t>Uzm. Dr. Berrin Yavuz</t>
  </si>
  <si>
    <t xml:space="preserve">212 202 86 09                                   </t>
  </si>
  <si>
    <t xml:space="preserve">552 366 41 98                                   </t>
  </si>
  <si>
    <t xml:space="preserve">Uskumruköy Mah.3. Cadde Gülizar Sok. No:15/1 </t>
  </si>
  <si>
    <t>Uskumruköy</t>
  </si>
  <si>
    <t>Uzm. Dr. Cavit Meclisi</t>
  </si>
  <si>
    <t xml:space="preserve">212 662 86 20                                   </t>
  </si>
  <si>
    <t>Hakkı Yeten Cad.Fulya Terrace No:13 K:17 D:117</t>
  </si>
  <si>
    <t>Şişli</t>
  </si>
  <si>
    <t>Uzm. Dr. Tamer Haliloğlu</t>
  </si>
  <si>
    <t xml:space="preserve">212 247 24 89                                   </t>
  </si>
  <si>
    <t xml:space="preserve">532 277 14 11                                   </t>
  </si>
  <si>
    <t>Fulya Mah.Hakkı Yeten Cad.Teşvikiye Aşçıoğlu Sit.No:17 D:7</t>
  </si>
  <si>
    <t>Uzm. Dr. Yusuf Şener</t>
  </si>
  <si>
    <t xml:space="preserve">212 231 01 83    </t>
  </si>
  <si>
    <t xml:space="preserve">532 615 18 08  </t>
  </si>
  <si>
    <t xml:space="preserve">Hakkı Yeten Cad. Aşçıoğlu Plaza No:17 K:3 </t>
  </si>
  <si>
    <t>Uzm.Dr. Zekeriya Suat Özden</t>
  </si>
  <si>
    <t>212 231 38 56</t>
  </si>
  <si>
    <t>532 403 99 09</t>
  </si>
  <si>
    <t>Hakkı Yeten Cad. Fulya Aşçıoğlu Plaza No:10 Kat:3 Daire:8 Fulya</t>
  </si>
  <si>
    <t>Uzm.Dr.Selçuk Güney</t>
  </si>
  <si>
    <t xml:space="preserve">212 230 31 32                                   </t>
  </si>
  <si>
    <t xml:space="preserve">532 432 75 37                                   </t>
  </si>
  <si>
    <t>Teşvikiye Mah.Hakkı Yeten Caddesi Vital Fulya Plaza No:23 Daire:8</t>
  </si>
  <si>
    <t>Prof.Dr.Şeref Aktaş</t>
  </si>
  <si>
    <t xml:space="preserve">212 215 52 73                                   </t>
  </si>
  <si>
    <t xml:space="preserve">532 658 00 77                                   </t>
  </si>
  <si>
    <t>Teşvikiye Mah. Hakkı Yeten Cad. Terrace Fulya Center 2 No:13A D:108</t>
  </si>
  <si>
    <t>Uzm.Dr. Ali Nihat Ofluoğlu</t>
  </si>
  <si>
    <t>212 234 35 63</t>
  </si>
  <si>
    <t>534 830 96 41</t>
  </si>
  <si>
    <t xml:space="preserve">Harbiye Mah.Abdi İpekçi Cad.Reasürans İş Hanı-1 No:57 D:4 </t>
  </si>
  <si>
    <t>Harbiye</t>
  </si>
  <si>
    <t>Uzm.Dr. Nejat Altıntaş</t>
  </si>
  <si>
    <t>212 216 09 09</t>
  </si>
  <si>
    <t>532 300 26 40</t>
  </si>
  <si>
    <t>Büyükdere C. No:95/8</t>
  </si>
  <si>
    <t>Mecidiyeköy</t>
  </si>
  <si>
    <t>Uzm.Dr. Tolgay Şatana</t>
  </si>
  <si>
    <t xml:space="preserve">212 570 67 86                    </t>
  </si>
  <si>
    <t xml:space="preserve">532 341 07 40     </t>
  </si>
  <si>
    <t xml:space="preserve">Harbiye Mah. Abdi İpekçi Cad.Reasürans İş Hanı-1 No:57 D:K:2 </t>
  </si>
  <si>
    <t>Nişantaşı</t>
  </si>
  <si>
    <t>Doç.Dr. Ziya Kapran</t>
  </si>
  <si>
    <t xml:space="preserve">212 219 58 38   </t>
  </si>
  <si>
    <t xml:space="preserve">530 641 36 19                                   </t>
  </si>
  <si>
    <t xml:space="preserve">Valikonağı Cad. Hasan Varol Apt. B Blok No:107/E D:2 </t>
  </si>
  <si>
    <t>Prof.Dr. Ahmet Akçay</t>
  </si>
  <si>
    <t>Çocuk Sağlığı ve Hastalıkları-Çocuk İmmünolojisi Ve Alerji Hastalıkları</t>
  </si>
  <si>
    <t xml:space="preserve">212 709 93 99                                   </t>
  </si>
  <si>
    <t xml:space="preserve">533 649 50 69                                   </t>
  </si>
  <si>
    <t>Harbiye Mah.Teşvikiye Cad.No:37</t>
  </si>
  <si>
    <t>Prof.Dr.Vedat Kaya</t>
  </si>
  <si>
    <t xml:space="preserve">212 343 75 35                                   </t>
  </si>
  <si>
    <t xml:space="preserve">536 475 51 69                                   </t>
  </si>
  <si>
    <t>Teşvikiye Mah.Valikonağı Cad. Akkavak Sok.No:17 D:10</t>
  </si>
  <si>
    <t>Uzm.Dr. Burcu Yamangöktürk Solak</t>
  </si>
  <si>
    <t xml:space="preserve">532 723 81 07                                   </t>
  </si>
  <si>
    <t xml:space="preserve">505 799 18 60                                   </t>
  </si>
  <si>
    <t>Valikonağı Cad. No:30 Nizampalas Apt.</t>
  </si>
  <si>
    <t>Uzm.Dr. Bülent Koç</t>
  </si>
  <si>
    <t>212 234 58 79</t>
  </si>
  <si>
    <t>532 242 54 26</t>
  </si>
  <si>
    <t>Medikoç Özel Sağlık Hizmetleri Valikonağı C. No:101/6</t>
  </si>
  <si>
    <t>Uzm. Dr. Güven Yıldırım</t>
  </si>
  <si>
    <t>212 219 32 41</t>
  </si>
  <si>
    <t>532 616 70 16</t>
  </si>
  <si>
    <t>Abdi İpekçi C. Reasürans Han E Blok No:57 K:3</t>
  </si>
  <si>
    <t>Uzm. Dr. İsmet Akkaya</t>
  </si>
  <si>
    <t>532 242 54 25</t>
  </si>
  <si>
    <t>Akkaya Özel Sağlık Hizmetleri  Valikonağı C. No:101/6</t>
  </si>
  <si>
    <t>Uzm. Dr. Kürşad Save</t>
  </si>
  <si>
    <t>212 219 33 14</t>
  </si>
  <si>
    <t>542 646 70 25</t>
  </si>
  <si>
    <t xml:space="preserve">Valikonağı Cad. Valikonağı Plaza No:171 D:1 </t>
  </si>
  <si>
    <t>Uzm. Dr. Müzeyyen Tekin</t>
  </si>
  <si>
    <t>212 234 25 91</t>
  </si>
  <si>
    <t>532 217 37 69</t>
  </si>
  <si>
    <t xml:space="preserve">Tria Med Tıp Merkezi  Valikonağı Cad. Sorak Apt. No:109 K:1 D:2 </t>
  </si>
  <si>
    <t>Uzm. Dr. Sadi Baturoğlu</t>
  </si>
  <si>
    <t xml:space="preserve">212 258 69 13                                   </t>
  </si>
  <si>
    <t>532 452 69 13</t>
  </si>
  <si>
    <t xml:space="preserve">Teşvikiye Mah. Güzel Bahçe Sokak MEDMAR PLAZA K:2 No:31 </t>
  </si>
  <si>
    <t>Uzm.Dr Can İşler</t>
  </si>
  <si>
    <t xml:space="preserve">212 231 23 51                                   </t>
  </si>
  <si>
    <t xml:space="preserve">533 816 61 98                                   </t>
  </si>
  <si>
    <t xml:space="preserve">Teşvikiye Mah. Şakayık Sokak No:51 D:3 </t>
  </si>
  <si>
    <t>Uzm.Dr. Mehmet Ulgar Manzakoğlu</t>
  </si>
  <si>
    <t xml:space="preserve">212 219 63 50                                   </t>
  </si>
  <si>
    <t xml:space="preserve">533 232 24 60                                   </t>
  </si>
  <si>
    <t xml:space="preserve">Teşvikiye Mah. Hakkı Yeten Cad. Aşçıoğlu Plaza No:17 K:4 D:10 </t>
  </si>
  <si>
    <t>Uzm.Dr.Murat Çeltik</t>
  </si>
  <si>
    <t xml:space="preserve">212 234 58 55                                   </t>
  </si>
  <si>
    <t xml:space="preserve">533 225 82 67                                   </t>
  </si>
  <si>
    <t>Abdi İpekçi Cad.No:57 K:3</t>
  </si>
  <si>
    <t>Uzm.Dr.Nihal Çetin</t>
  </si>
  <si>
    <t xml:space="preserve">212 853 63 43                                   </t>
  </si>
  <si>
    <t xml:space="preserve">505 644 20 56                                   </t>
  </si>
  <si>
    <t>Doç.Dr.İbrahim Halil Kalelioğlu</t>
  </si>
  <si>
    <t xml:space="preserve">212 219 23 23                                   </t>
  </si>
  <si>
    <t xml:space="preserve">531 574 94 06                                   </t>
  </si>
  <si>
    <t>Büyükdere Cad.No:25/3</t>
  </si>
  <si>
    <t>Prof. Dr. Pınar Kadıoğlu</t>
  </si>
  <si>
    <t xml:space="preserve">212 219 61 13                                   </t>
  </si>
  <si>
    <t xml:space="preserve">Meşrutiyet Mah.Halaskargazi Cad. Uğurlu Saray Apt. No:114 D:1/2 </t>
  </si>
  <si>
    <t>Prof.Dr Hasan Faruk Buyru</t>
  </si>
  <si>
    <t>212 225 62 65</t>
  </si>
  <si>
    <t>555 221 80 00</t>
  </si>
  <si>
    <t>Teşvikiye Cad. Bayer Apt. No:63/11</t>
  </si>
  <si>
    <t xml:space="preserve">Prof.Dr. Asım Kaytaz </t>
  </si>
  <si>
    <t>212 343 05 05</t>
  </si>
  <si>
    <t xml:space="preserve">Valikonağı Cad. No:161 K:1 D:12   </t>
  </si>
  <si>
    <t xml:space="preserve">Prof.Dr. Cem Mat </t>
  </si>
  <si>
    <t>212 234 01 01</t>
  </si>
  <si>
    <t xml:space="preserve">Halaskargazi Cad. No:146K:4 Şenpalas Apt.   </t>
  </si>
  <si>
    <t xml:space="preserve">Prof.Dr. Fehmi Mercanoğlu </t>
  </si>
  <si>
    <t>212 231 05 50</t>
  </si>
  <si>
    <t xml:space="preserve">Vali Konağı Cad. No:163 K:2 D:6   </t>
  </si>
  <si>
    <t>Prof.Dr.Ferhan Bülent Berkarda</t>
  </si>
  <si>
    <t>Tıbbi Onkoloji</t>
  </si>
  <si>
    <t xml:space="preserve">212 234 28 18                                   </t>
  </si>
  <si>
    <t xml:space="preserve">545 601 53 55                                   </t>
  </si>
  <si>
    <t>Hakkı Yeten Cad.Doğu İş Merkezi No:15 K:7 D:15-16</t>
  </si>
  <si>
    <t>Uzm.Dr. Aslıhan Ayşe Akkor</t>
  </si>
  <si>
    <t>Anesteziyoloji ve Reanimasyon</t>
  </si>
  <si>
    <t xml:space="preserve">212 230 09 13                                   </t>
  </si>
  <si>
    <t>Akkor Sağlık Hizmetleri Hakkı Yeten Cad. Terrace Fulya Center2. Blok M4</t>
  </si>
  <si>
    <t xml:space="preserve">Uzm.Dr. Bilgivar Kaya </t>
  </si>
  <si>
    <t xml:space="preserve">212 230 30 78       </t>
  </si>
  <si>
    <t xml:space="preserve">532 353 64 93                        </t>
  </si>
  <si>
    <t>Abide-i Hürriyet Cad. No:134 K:4 D:8</t>
  </si>
  <si>
    <t xml:space="preserve">Uzm. Dr. Ethem Onur Kulaksızoğlu </t>
  </si>
  <si>
    <t xml:space="preserve">212 231 01 84                                   </t>
  </si>
  <si>
    <t xml:space="preserve">535 245 45 22                                   </t>
  </si>
  <si>
    <t>Teşvikiye Mh. Hakkı Yeten Cd. Asçıoğlu Plaza
No:17 K:3 D:7</t>
  </si>
  <si>
    <t>Uzm.Dr. Korkut Aslan</t>
  </si>
  <si>
    <t xml:space="preserve">212 247 10 87                                   </t>
  </si>
  <si>
    <t xml:space="preserve">532 233 87 73                                   </t>
  </si>
  <si>
    <t>19 Mayıs Mah.Op.Dr.Raif Bry Sok.No:15/1</t>
  </si>
  <si>
    <t>Uzm.Dr. Mehtap Çalış</t>
  </si>
  <si>
    <t>Radyasyon Onkolojisi</t>
  </si>
  <si>
    <t xml:space="preserve">212 224 98 94        </t>
  </si>
  <si>
    <t xml:space="preserve">532 362 56 54      </t>
  </si>
  <si>
    <t>Nil Sağlık Hizmetleri Abide-i Hürriyet Cad. No:136/4</t>
  </si>
  <si>
    <t>Uzm.Dr. Nimer Dörtcan</t>
  </si>
  <si>
    <t xml:space="preserve">212 232 97 07                                   </t>
  </si>
  <si>
    <t xml:space="preserve">533 613 75 49                                   </t>
  </si>
  <si>
    <t xml:space="preserve">Merkez Mah. Abide-i Hürriyet Cad. Aykaç İş Merk. No:171 D:8 </t>
  </si>
  <si>
    <t>Uzm.Dr. Nurettin Lüleci</t>
  </si>
  <si>
    <t>Algoloji</t>
  </si>
  <si>
    <t>Uzm. Dr. Saffet Aybars Akkor</t>
  </si>
  <si>
    <t>Uzm.Dr. Selim Muğrabi</t>
  </si>
  <si>
    <r>
      <t>212 240 1530</t>
    </r>
    <r>
      <rPr>
        <b/>
        <sz val="9"/>
        <rFont val="Arial"/>
        <family val="2"/>
        <charset val="162"/>
      </rPr>
      <t xml:space="preserve"> </t>
    </r>
  </si>
  <si>
    <t>532 277 01 84</t>
  </si>
  <si>
    <t>Fulya Ayak Cerrahisi Merkezi Teşvikiye Mah. Hakkı Yeten Cad. No:11 Fulya Terace konutları K.15 D.99</t>
  </si>
  <si>
    <t>Uzm.Dr. Semih Ayanoğlu</t>
  </si>
  <si>
    <t>212 231 81 01</t>
  </si>
  <si>
    <t>532 322 10 37</t>
  </si>
  <si>
    <t>İstanbul Ayak Sağlığı Merkezi Rumeli C. No:4-6 K:2</t>
  </si>
  <si>
    <t>Uzm.Dr. Sevda Dağcıoğlu</t>
  </si>
  <si>
    <t>Uzm.Dr. Varol Çalış</t>
  </si>
  <si>
    <t xml:space="preserve">Uzm. Dr. Veysel Kerem Bıkmaz </t>
  </si>
  <si>
    <t xml:space="preserve">212 219 06 06                                   </t>
  </si>
  <si>
    <t xml:space="preserve">530 936 70 04                                   </t>
  </si>
  <si>
    <t>İstanbul Nörocerrahi Ağrı Kliniği Hakkı Yeten Cd. Aşçıoğlu Plaza No:17 Kat 7</t>
  </si>
  <si>
    <t>Uzm.Dr Pelin Boyner Tahtacı</t>
  </si>
  <si>
    <t>212 225 06 60</t>
  </si>
  <si>
    <t>532 251 36 62</t>
  </si>
  <si>
    <t>Harbiye Mah. Teşvikiye Cad. Başer Apt. No:63</t>
  </si>
  <si>
    <t xml:space="preserve">Uzm.Dr. Aşer Bensusan </t>
  </si>
  <si>
    <t>212 247 20 16</t>
  </si>
  <si>
    <t xml:space="preserve">Merkez Mah. Abide-İ Hürriyet Cad. No:24/3   </t>
  </si>
  <si>
    <t>Uzm.Dr.Candan Çıray</t>
  </si>
  <si>
    <t xml:space="preserve">212 343 83 39 </t>
  </si>
  <si>
    <t>Hacı Emin Efendi Sok.Polat Apt.No:46/3</t>
  </si>
  <si>
    <t xml:space="preserve">Uzm.Dr. Nihal Kalelioğlu </t>
  </si>
  <si>
    <t>212 267 03 55</t>
  </si>
  <si>
    <t>542 523 30 00</t>
  </si>
  <si>
    <t xml:space="preserve">Cemal Sahir Sok. No:3/6 Deniz Apt.   </t>
  </si>
  <si>
    <t xml:space="preserve">Uzm.Dr.Nesimi Cihan Ünlüçerçi </t>
  </si>
  <si>
    <t>212 247 76 95</t>
  </si>
  <si>
    <t>Abide-İ Hürriyet Cad.İrma Apt.No:137/2</t>
  </si>
  <si>
    <t>Uzm.Dr.Filiz Altıoğlu Çil</t>
  </si>
  <si>
    <t xml:space="preserve">212 225 08 03                                   </t>
  </si>
  <si>
    <t xml:space="preserve">505 104 08 00                                   </t>
  </si>
  <si>
    <t xml:space="preserve">Merkez Mah.Halaskargazi Cad.Kipman Apt. No:209 D:6/C </t>
  </si>
  <si>
    <t>Prof.Dr.Alaattin Yıldız</t>
  </si>
  <si>
    <t>İç Hastalıkları-Nefroloji</t>
  </si>
  <si>
    <t>212 231 69 25</t>
  </si>
  <si>
    <t>542 242 73 20</t>
  </si>
  <si>
    <t>Meşrutiyet Mah.Vali Konağı Cad.No:109/2</t>
  </si>
  <si>
    <t>Doç. Dr. Selçuk Can</t>
  </si>
  <si>
    <t>212 296 46 11</t>
  </si>
  <si>
    <t>532 434 48 81</t>
  </si>
  <si>
    <t>Sezai Selek Sok.Tayman Apt.No:16 D:7 Nişantaşı</t>
  </si>
  <si>
    <t>Teşvikiye</t>
  </si>
  <si>
    <t>Uzm. Dr. Sema Etiz Sayharman</t>
  </si>
  <si>
    <t xml:space="preserve">216 316 08 08                                   </t>
  </si>
  <si>
    <t xml:space="preserve">532 254 79 28                                   </t>
  </si>
  <si>
    <t xml:space="preserve">İnkılap Mah. Alemdağ Cad. No:155/2-7 </t>
  </si>
  <si>
    <t>Ümraniye</t>
  </si>
  <si>
    <t xml:space="preserve">Uzm.Dr. Memduh Yamaç </t>
  </si>
  <si>
    <t>216 523 04 17</t>
  </si>
  <si>
    <t>Atatürk Mah. Alemdağ Cad. Santral İş Merkezi No:10-12 Kat 5</t>
  </si>
  <si>
    <t xml:space="preserve">Uzm.Dr. Murat Akça </t>
  </si>
  <si>
    <t xml:space="preserve">Doç. Dr. Tülay Okman Kılıç </t>
  </si>
  <si>
    <t xml:space="preserve">216 690 30 65                                   </t>
  </si>
  <si>
    <t xml:space="preserve">555 583 80 16                                   </t>
  </si>
  <si>
    <t>Acıbadem Mah.Çeçen Sok.Akasya Acıbadem Sit.Kent Etabı A Kule A Giriş K:26 D:152</t>
  </si>
  <si>
    <t>Acıbadem</t>
  </si>
  <si>
    <t>Üsküdar</t>
  </si>
  <si>
    <t>Uzm. Dr. Nezih Pişkinpaşa</t>
  </si>
  <si>
    <t>216 651 15 10</t>
  </si>
  <si>
    <t>542 624 88 41</t>
  </si>
  <si>
    <t>Nuh Kuyusu Cad. Ferah Ap. No:116 D:4</t>
  </si>
  <si>
    <t>Bağlarbaşı</t>
  </si>
  <si>
    <t>Uzm. Dr. Sinan  Budak</t>
  </si>
  <si>
    <t>216 532 46 24</t>
  </si>
  <si>
    <t>532 247 29 99</t>
  </si>
  <si>
    <t xml:space="preserve">Beylerbeyi Koruluk Sok. No:9/2 </t>
  </si>
  <si>
    <t>Beylerbeyi</t>
  </si>
  <si>
    <t>Uzm.Dr.Nazife Ergen Micozkadıoğlu</t>
  </si>
  <si>
    <t>216 310 26 74</t>
  </si>
  <si>
    <t>532 735 24 42</t>
  </si>
  <si>
    <t>Aziz Mahmut Hüdayi Mah.Halk Cad.No:4</t>
  </si>
  <si>
    <t>Uzm. Dr. K. Fikret Abbanoğlu</t>
  </si>
  <si>
    <t>232 278 81 11</t>
  </si>
  <si>
    <t>Caner Özel Sağlık Hizmetleri Mithatpaşa C. No:247/A</t>
  </si>
  <si>
    <t>Balçova</t>
  </si>
  <si>
    <t>Uzm. Dr. Lale Dinçer</t>
  </si>
  <si>
    <t>533 736 48 51</t>
  </si>
  <si>
    <t>Uzm. Dr. Ahmet Hamdi Akkoca</t>
  </si>
  <si>
    <t xml:space="preserve">232 435 69 68                                   </t>
  </si>
  <si>
    <t xml:space="preserve">532 611 77 23                                   </t>
  </si>
  <si>
    <t>Sakarya Cad. Merve Apt. No:77/1-4</t>
  </si>
  <si>
    <t>Bayraklı</t>
  </si>
  <si>
    <t xml:space="preserve">Uzm. Dr. Hüseyin Ceyberi </t>
  </si>
  <si>
    <t xml:space="preserve">532 364 95 29                                                                 </t>
  </si>
  <si>
    <t>Uzm.Dr.Kemal Aydın</t>
  </si>
  <si>
    <t xml:space="preserve">232 438 10 00                                   </t>
  </si>
  <si>
    <t xml:space="preserve">533 663 75 78                                   </t>
  </si>
  <si>
    <t xml:space="preserve">Vali Rahmi Bey Mah. Büyük Menderes Caddesi No:55 D:2 </t>
  </si>
  <si>
    <t>Buca</t>
  </si>
  <si>
    <t>Uzm.Dr.Behnan Hagele</t>
  </si>
  <si>
    <t xml:space="preserve">232 712 07 95                                   </t>
  </si>
  <si>
    <t xml:space="preserve">545 569 09 78                                   </t>
  </si>
  <si>
    <t xml:space="preserve">Alaçatı Mah. Atatürk Cad.2001 Sok. No:115 D:9 </t>
  </si>
  <si>
    <t>Çeşme</t>
  </si>
  <si>
    <t>Doç. Dr. Ceyhun Dizdarer</t>
  </si>
  <si>
    <t>Çocuk Sağlığı ve Hastalıkları-Endokrinoloji ve Beslenme</t>
  </si>
  <si>
    <t xml:space="preserve">232 323 26 80
</t>
  </si>
  <si>
    <t>532 214 16 41</t>
  </si>
  <si>
    <t>Bahriye Üçok Bulvarı Nazife Hanım Apt. Kat:6 D:10</t>
  </si>
  <si>
    <t>Karşıyaka</t>
  </si>
  <si>
    <t>Uzm. Dr. Ali Ata Özdemir</t>
  </si>
  <si>
    <t>232 323 45 45</t>
  </si>
  <si>
    <t>532 417 09 47</t>
  </si>
  <si>
    <t>Özel Mitra Sağlık Hizmetleri "MİTRA" Girne Blv. 1879. S. No:82/A</t>
  </si>
  <si>
    <t>Uzm.Dr. Ergun Kındıroğlu</t>
  </si>
  <si>
    <t>232 369 14 87</t>
  </si>
  <si>
    <t>532 779 17 00</t>
  </si>
  <si>
    <t>Kındıroğlu Özel Sağlık Hizmetleri  Donanmacı M. Kemalpaşa C. 1732.S. No:7/2</t>
  </si>
  <si>
    <t xml:space="preserve">Uzm.Dr. Hakan Kılavuz </t>
  </si>
  <si>
    <t xml:space="preserve">232 383 03 10             </t>
  </si>
  <si>
    <t xml:space="preserve">532 353 65 93    </t>
  </si>
  <si>
    <t xml:space="preserve">İmbat Mah. 6076. Sok. No:10/2  </t>
  </si>
  <si>
    <t>Uzm.Dr. Lütfü Apaydın</t>
  </si>
  <si>
    <t xml:space="preserve">232 369 69 57       </t>
  </si>
  <si>
    <t xml:space="preserve">532 353 07 76     </t>
  </si>
  <si>
    <t>Park Yaşam Ofis A Blok Yalı Mah. 6523 Sok. 32/A1 K:5 No:505 Doğa Koleji Yanı</t>
  </si>
  <si>
    <t>Uzm.Dr. Mitra Özdemir</t>
  </si>
  <si>
    <t>Uzm.Dr. Neşe Kındıroğlu</t>
  </si>
  <si>
    <t>532 231 04 69</t>
  </si>
  <si>
    <t>Uzm.Dr. Şenay Aycan</t>
  </si>
  <si>
    <t xml:space="preserve">232 323 18 98                     </t>
  </si>
  <si>
    <t xml:space="preserve">532 357 45 89                    </t>
  </si>
  <si>
    <t xml:space="preserve">Yalı Cad. No: 316/2 </t>
  </si>
  <si>
    <t>Uzm.Dr. Yılmaz Bay</t>
  </si>
  <si>
    <t>232 381 69 07</t>
  </si>
  <si>
    <t>542 345 43 81</t>
  </si>
  <si>
    <t>Yalı C. 1738.S. No:2/1</t>
  </si>
  <si>
    <t xml:space="preserve">Uzm.Dr. Hamit Pak </t>
  </si>
  <si>
    <t>232 364 89 95</t>
  </si>
  <si>
    <t xml:space="preserve">Yalı Cad. No:434/2 D:1 Kuğu Apt.   </t>
  </si>
  <si>
    <t>Uzm.Dr. M Cüneyt Soyal</t>
  </si>
  <si>
    <t>232 330 88 40</t>
  </si>
  <si>
    <t>532 364 95 88</t>
  </si>
  <si>
    <t xml:space="preserve">Bostanlı Mah.2008 (Dr.Ziya Ertemer)Sok kağıtçı Apt.N:2/4 </t>
  </si>
  <si>
    <t xml:space="preserve">Uzm.Dr.Hatice Karahan </t>
  </si>
  <si>
    <t>232 337 00 23</t>
  </si>
  <si>
    <t>530 731 13 80</t>
  </si>
  <si>
    <t xml:space="preserve">Bostanlı Mah. İsmail Sivri Sokak No:8A D:A1 </t>
  </si>
  <si>
    <t>Uzm.Dr.Burhan Karabağ</t>
  </si>
  <si>
    <t xml:space="preserve">232 369 90 67                                   </t>
  </si>
  <si>
    <t xml:space="preserve">532 430 54 58                                   </t>
  </si>
  <si>
    <t xml:space="preserve">Cemal Gürsel Cad. No:438/1  </t>
  </si>
  <si>
    <t>Uzm.Dr.Gevher Betül Arıcan</t>
  </si>
  <si>
    <t xml:space="preserve">232 362 30 60                                   </t>
  </si>
  <si>
    <t xml:space="preserve">543 492 51 54                                   </t>
  </si>
  <si>
    <t xml:space="preserve">Yalı Mah. 6523. Sok. No:32 B Blok D:206 </t>
  </si>
  <si>
    <t>Uzm.Dr.Tuğrul Özcan</t>
  </si>
  <si>
    <t xml:space="preserve">232 364 04 37                                   </t>
  </si>
  <si>
    <t>Bahriye Üçok Bul.Şimşek İş Mer.1/3 D:204</t>
  </si>
  <si>
    <t>Uzm.Dr.Cengiz Bıçakcı</t>
  </si>
  <si>
    <t xml:space="preserve">232 502 21 11                                   </t>
  </si>
  <si>
    <t xml:space="preserve">532 291 95 25                                   </t>
  </si>
  <si>
    <t xml:space="preserve">Yalı Mah. 6523. Sok. No:32B D:106 </t>
  </si>
  <si>
    <t>Uzm. Dr. Şule Aydın</t>
  </si>
  <si>
    <t xml:space="preserve">232 502 17 25                                   </t>
  </si>
  <si>
    <t>Yalı Mah.6523.Sok.No:B-32 D:306</t>
  </si>
  <si>
    <t>Mavişehir</t>
  </si>
  <si>
    <t>Doç. Dr. Can Ceylan</t>
  </si>
  <si>
    <t xml:space="preserve">232 422 48 88        </t>
  </si>
  <si>
    <t xml:space="preserve">532 281 31 73       </t>
  </si>
  <si>
    <t>Nur Apt Cad. Talatpaşa Bulvarı No: 41 D: 9 K: 4</t>
  </si>
  <si>
    <t>Alsancak</t>
  </si>
  <si>
    <t>Konak</t>
  </si>
  <si>
    <t>Doç. Dr. Gürkan Avcı</t>
  </si>
  <si>
    <t xml:space="preserve">232 463 00 25                                   </t>
  </si>
  <si>
    <t xml:space="preserve">533 763 69 71                                   </t>
  </si>
  <si>
    <t xml:space="preserve">1394 Sok. No:14 D:10 </t>
  </si>
  <si>
    <t>Doç.Dr.Ayşe Ayşin Öge</t>
  </si>
  <si>
    <t xml:space="preserve">232 463 76 76                                   </t>
  </si>
  <si>
    <t xml:space="preserve">507 363 22 62                                   </t>
  </si>
  <si>
    <t>Alsancak Mah.Cumhuriyet Bulv.No:139/5</t>
  </si>
  <si>
    <t>Prof. Dr. Ahmet Çoker</t>
  </si>
  <si>
    <t>232 464 59 70</t>
  </si>
  <si>
    <t>Mimar Sinan Cad. No:25/4</t>
  </si>
  <si>
    <t>Prof. Dr. Cahide Soydaş Çınar</t>
  </si>
  <si>
    <t xml:space="preserve">232 464 12 12                                   </t>
  </si>
  <si>
    <t xml:space="preserve">532 596 10 33                                   </t>
  </si>
  <si>
    <t xml:space="preserve">Plevne Bulv. No:18 K:4/8 </t>
  </si>
  <si>
    <t>Prof. Dr. Erhan Sesli</t>
  </si>
  <si>
    <t xml:space="preserve">232 463 88 89   </t>
  </si>
  <si>
    <t xml:space="preserve">532 244 08 34     </t>
  </si>
  <si>
    <t xml:space="preserve">Şair Eşref Bulv. No:2 D:2 </t>
  </si>
  <si>
    <r>
      <t>Prof. Dr. Öztekin Oto</t>
    </r>
    <r>
      <rPr>
        <b/>
        <sz val="9"/>
        <rFont val="Arial"/>
        <family val="2"/>
        <charset val="162"/>
      </rPr>
      <t xml:space="preserve">  </t>
    </r>
  </si>
  <si>
    <t xml:space="preserve">232 422 03 77      </t>
  </si>
  <si>
    <t xml:space="preserve">532 701 42 41      </t>
  </si>
  <si>
    <t xml:space="preserve">Şair Eşref Bulv. 1402 Sok. No:2/2 </t>
  </si>
  <si>
    <t>Prof. Dr. Turhan Uslu</t>
  </si>
  <si>
    <t xml:space="preserve">232 464 33 22    </t>
  </si>
  <si>
    <t xml:space="preserve">533 621 62 11          </t>
  </si>
  <si>
    <t xml:space="preserve">Şair Eşref Bulv. No: 51/4 </t>
  </si>
  <si>
    <t xml:space="preserve">Prof.Dr. A.Şebnem Özkan </t>
  </si>
  <si>
    <t xml:space="preserve">232 464 04 58                                   </t>
  </si>
  <si>
    <t xml:space="preserve">Kültür Mah.1389. Sokak No:9 D:1/1 </t>
  </si>
  <si>
    <t>Prof.Dr.Mehmet Saffet Mutluer</t>
  </si>
  <si>
    <t xml:space="preserve">232 463 05 92 </t>
  </si>
  <si>
    <t xml:space="preserve">532 323 67 71 </t>
  </si>
  <si>
    <t>Alsancak Mah. 1359.Sok. NO:6/8</t>
  </si>
  <si>
    <t>Prof.Dr.Özgür Aslan</t>
  </si>
  <si>
    <t xml:space="preserve">232 465 21 16                                   </t>
  </si>
  <si>
    <t xml:space="preserve">546 465 21 15                                   </t>
  </si>
  <si>
    <t xml:space="preserve">Alsancak Mah.Ziya Gökalp Cad. No:28 D:12 </t>
  </si>
  <si>
    <t>Uzm. Dr. Adnan Keklik</t>
  </si>
  <si>
    <t>232 421 75 11</t>
  </si>
  <si>
    <t>542 413 52 16</t>
  </si>
  <si>
    <t>İlgim Özel Sağlık Hizmetleri Talatpaşa Blv. 1434. S. No:1/6</t>
  </si>
  <si>
    <t>Uzm. Dr. Ahmet Altıntığ</t>
  </si>
  <si>
    <t>232 463 11 55</t>
  </si>
  <si>
    <t>532 236 36 49</t>
  </si>
  <si>
    <t>Ali Çetinkaya Blv. No:71/1</t>
  </si>
  <si>
    <t xml:space="preserve">Uzm. Dr. Alp Alaluf  </t>
  </si>
  <si>
    <t xml:space="preserve">232 421 71 20                                   </t>
  </si>
  <si>
    <t xml:space="preserve">532 422 67 65                                   </t>
  </si>
  <si>
    <t>Ali Çetinkaya Bulv. No:71 K:2/4</t>
  </si>
  <si>
    <t>Uzm. Dr. Ayşe Bayata</t>
  </si>
  <si>
    <t>232 422 60 60</t>
  </si>
  <si>
    <t>532 252 61 52</t>
  </si>
  <si>
    <t>Erata Özel Sağlık Hizmetleri 1380. s. No:2/B D:7</t>
  </si>
  <si>
    <t xml:space="preserve">Uzm. Dr. Birdal Çetinol </t>
  </si>
  <si>
    <t xml:space="preserve">232 247 78 10                                   </t>
  </si>
  <si>
    <t xml:space="preserve">532 242 53 07                                   </t>
  </si>
  <si>
    <t>Ali Çetinkaya Bulv. No:27/4</t>
  </si>
  <si>
    <t>Uzm. Dr. Cem Mermut</t>
  </si>
  <si>
    <t>232 465 03 30</t>
  </si>
  <si>
    <t>532 382 86 04</t>
  </si>
  <si>
    <t xml:space="preserve">Yıldız Mah. Hoca Ahmet Yesevi Cad. No:128/A Özel Atafizik Tıp Merkezi </t>
  </si>
  <si>
    <t>Uzm. Dr. Didem Dereli</t>
  </si>
  <si>
    <t>232 465 09 53</t>
  </si>
  <si>
    <t>532 436 36 41</t>
  </si>
  <si>
    <t>Mimar Sinan Cad. Büyüktürkoğlu Apt. No:23</t>
  </si>
  <si>
    <t>Uzm. Dr. Ebru Çelik</t>
  </si>
  <si>
    <t>232 464 82 82</t>
  </si>
  <si>
    <t xml:space="preserve">Cumhuriyet Bul. No:182 D:3 </t>
  </si>
  <si>
    <t>Uzm. Dr. Gülşen Dizdarer</t>
  </si>
  <si>
    <t>232 464 04 06</t>
  </si>
  <si>
    <t>532 361 61 39</t>
  </si>
  <si>
    <t>1394.Sokak Sağlık Merkezi Apt. Trt arkası No:11 D:9  K:3</t>
  </si>
  <si>
    <t>Uzm. Dr. Meltem Serter Yünten</t>
  </si>
  <si>
    <t>232 464 00 74</t>
  </si>
  <si>
    <t>532 255 45 15</t>
  </si>
  <si>
    <t xml:space="preserve">Mimar Sinan Mah. 1400 Sok.
No:5  Baysak 3 K:3 D:5-6  
</t>
  </si>
  <si>
    <t>Uzm. Dr. Murat Erbezci</t>
  </si>
  <si>
    <t xml:space="preserve">232 464 06 06                                   </t>
  </si>
  <si>
    <t>Plevne Bulv. No:20/2</t>
  </si>
  <si>
    <t>Uzm. Dr. Müjgan Ulutekin İbrahimhakkıoğlu</t>
  </si>
  <si>
    <t xml:space="preserve">232 463 85 70 </t>
  </si>
  <si>
    <t xml:space="preserve">1359 Sok. No:4/4 Kızılkanat Sağlık Sitesi B Blok </t>
  </si>
  <si>
    <t>Uzm. Dr. Nejdet Gündoğdu</t>
  </si>
  <si>
    <t xml:space="preserve">232 464 71 01                   </t>
  </si>
  <si>
    <t xml:space="preserve">532 323 18 39              </t>
  </si>
  <si>
    <t xml:space="preserve">Talatpaşa Bulvarı No:35 K:2 D:2 </t>
  </si>
  <si>
    <t>Uzm. Dr. Olcay Gültepe</t>
  </si>
  <si>
    <t>Uzm. Dr. Önder Bayata</t>
  </si>
  <si>
    <t>532 241 33 63</t>
  </si>
  <si>
    <t>Uzm. Dr. Ruhi Çankayalı</t>
  </si>
  <si>
    <t>232 463 82 91</t>
  </si>
  <si>
    <t>533 415 20 69</t>
  </si>
  <si>
    <t>Ege Estetik ve Cerrahi Merkezi Dr. Mustafa Bey Cad. 594. Sok. No:15 K:1 D:3</t>
  </si>
  <si>
    <t>Uzm. Dr. Selçuk Özyurt</t>
  </si>
  <si>
    <t>Uzm. Dr. Tamer Güvenir</t>
  </si>
  <si>
    <t xml:space="preserve">232 421 24 34 </t>
  </si>
  <si>
    <t>Şair Eşref Bulvarı No:84 K:2 D:3</t>
  </si>
  <si>
    <t>Uzm. Dr. Tevhide Dinçer</t>
  </si>
  <si>
    <t>232 463 19 20</t>
  </si>
  <si>
    <t>532 345 05 74</t>
  </si>
  <si>
    <t>Dermamed Lazer Epilasyon Özel Sağlık Hizmetleri DERMAMED Talatpaşa Blv. No:65/2</t>
  </si>
  <si>
    <t>Uzm. Dr. Yalçın Hamdioğlu</t>
  </si>
  <si>
    <t>232 463 72 15</t>
  </si>
  <si>
    <t>532 263 50 55</t>
  </si>
  <si>
    <t>Ali Çetinkaya Blv. No:25/2</t>
  </si>
  <si>
    <t>Uzm. Dr.Behçet Bülent Serçin</t>
  </si>
  <si>
    <t xml:space="preserve">232 465 08 86                                   </t>
  </si>
  <si>
    <t xml:space="preserve">532 397 17 42                                   </t>
  </si>
  <si>
    <t>Alsancak Mah.1359 Sok.Umut Sitesi No:1 D:1</t>
  </si>
  <si>
    <t xml:space="preserve">Uzm.Dr. Gürkan Ertuğrul </t>
  </si>
  <si>
    <t>232 464 42 72</t>
  </si>
  <si>
    <t xml:space="preserve">Mimar Sinan Mah.1394. Sok.Ali Çetinkaya Bulv.No:15/ D:1/4 </t>
  </si>
  <si>
    <t>Uzm.Dr. Salim Şehirali</t>
  </si>
  <si>
    <t xml:space="preserve">232 463 99 03                              </t>
  </si>
  <si>
    <t xml:space="preserve">532 655 20 88               </t>
  </si>
  <si>
    <t xml:space="preserve">1401 Sokak Mimar Sinan Mah. Hikmet Duğles Apt. No:18 K:3 D:13 </t>
  </si>
  <si>
    <t>Uzm.Dr.Fatma Altıntaşoğlu</t>
  </si>
  <si>
    <t xml:space="preserve">232 464 25 28                                   </t>
  </si>
  <si>
    <t xml:space="preserve">532 274 64 26                                   </t>
  </si>
  <si>
    <t>Şair Eşref Bulv.No:82/1 D:5</t>
  </si>
  <si>
    <t>Uzm.Dr.Hüseyin İvit</t>
  </si>
  <si>
    <t xml:space="preserve">232 464 02 02                                   </t>
  </si>
  <si>
    <t xml:space="preserve">532 241 96 25                                   </t>
  </si>
  <si>
    <t xml:space="preserve">1394 Sok. No:15 D:6 </t>
  </si>
  <si>
    <t>Uzm.Dr.Nurten Akdeniz</t>
  </si>
  <si>
    <t xml:space="preserve">232 421 90 50                                   </t>
  </si>
  <si>
    <t xml:space="preserve">532 460 11 50                                   </t>
  </si>
  <si>
    <t>Alsancak Mah.Şevket Özçelik Sok.No:9 D:3</t>
  </si>
  <si>
    <t>Uzm. Dr. Ayşe Merve Bülbül</t>
  </si>
  <si>
    <t>232 422 17 10</t>
  </si>
  <si>
    <t>532 720 74 93</t>
  </si>
  <si>
    <t xml:space="preserve">1420 Sok. No:88 D:10 </t>
  </si>
  <si>
    <t xml:space="preserve">Kahramanlar  </t>
  </si>
  <si>
    <t>Doç.Dr Bülent Tuğrul</t>
  </si>
  <si>
    <t>232 422 38 06</t>
  </si>
  <si>
    <t>542 212 02 68</t>
  </si>
  <si>
    <t>Kültür Mah. Ali Çetinkaya Blv. Uğur Aprt. No:58/1</t>
  </si>
  <si>
    <t xml:space="preserve">Doç.Dr. H.Füsun Atlıhan </t>
  </si>
  <si>
    <t>2324634889</t>
  </si>
  <si>
    <t xml:space="preserve">1357 Sok. Yıldırım Sitesi No:2 Kat:5 D:12 - 0   </t>
  </si>
  <si>
    <t xml:space="preserve">Prof.Dr. Ali Baloğlu </t>
  </si>
  <si>
    <t>232 422 44 93</t>
  </si>
  <si>
    <t xml:space="preserve">Talatpaşa Blv. 61/4   </t>
  </si>
  <si>
    <t xml:space="preserve">Prof.Dr. Enis Yetkin </t>
  </si>
  <si>
    <t>232 464 43 67</t>
  </si>
  <si>
    <t xml:space="preserve">1399 Sok.15-6   </t>
  </si>
  <si>
    <t xml:space="preserve">Prof.Dr. İrfan Karaca </t>
  </si>
  <si>
    <t>Çocuk Cerrahisi</t>
  </si>
  <si>
    <t>232 463 90 46</t>
  </si>
  <si>
    <t xml:space="preserve">1420 Sok.No:96/003   </t>
  </si>
  <si>
    <t xml:space="preserve">Uzm.Dr. Cengiz Kaner </t>
  </si>
  <si>
    <t>232 421 94 82</t>
  </si>
  <si>
    <t xml:space="preserve">1394 Sok. No:14/12 Baysak İş Merkezi   </t>
  </si>
  <si>
    <t xml:space="preserve">Uzm.Dr. Faruk Ergönen </t>
  </si>
  <si>
    <t>232 464 98 58</t>
  </si>
  <si>
    <t xml:space="preserve">1394 Sok. 14/1 Baysak 2.İş Hanı   </t>
  </si>
  <si>
    <t>Uzm.Dr. Figen Akdenizoğlu</t>
  </si>
  <si>
    <t xml:space="preserve">232 464 50 51                                   </t>
  </si>
  <si>
    <t>Mimar Sinan Mah. 1399. Sokak NO:4/3 Konak</t>
  </si>
  <si>
    <t xml:space="preserve">Uzm.Dr. Haluk Erkur </t>
  </si>
  <si>
    <t>232 422 36 56</t>
  </si>
  <si>
    <t xml:space="preserve">1359 Sok.6/12 Kızılkanatsit.C Blok   </t>
  </si>
  <si>
    <t>Uzm.Dr. İlker Nalbant</t>
  </si>
  <si>
    <t xml:space="preserve">232 464 48 18                                   </t>
  </si>
  <si>
    <t xml:space="preserve">532 311 90 10                                   </t>
  </si>
  <si>
    <t>Kahramanlar Mah.Mimar Sinan Cad.No:6 D:5</t>
  </si>
  <si>
    <t xml:space="preserve">Uzm.Dr. Kamil Özekli </t>
  </si>
  <si>
    <t>Nükleer Tıp</t>
  </si>
  <si>
    <t>232 422 57 59</t>
  </si>
  <si>
    <t xml:space="preserve">1400 Sok. No:6 Kat:1 D:3K:1 D:4 Fatih Apt.   </t>
  </si>
  <si>
    <t xml:space="preserve">Uzm.Dr. Tolga Şentürk </t>
  </si>
  <si>
    <t>232 421 99 33</t>
  </si>
  <si>
    <t xml:space="preserve">1400 Sok.No:5 Baysak İş Merk. D:7-8 </t>
  </si>
  <si>
    <t xml:space="preserve">Uzm.Dr. Ziya T.Güneş </t>
  </si>
  <si>
    <t>232 422 00 56</t>
  </si>
  <si>
    <t xml:space="preserve">1399 Sokak No:17   </t>
  </si>
  <si>
    <t>Uzm.Dr.Erdal Duman</t>
  </si>
  <si>
    <t xml:space="preserve">232 463 25 02                                   </t>
  </si>
  <si>
    <t xml:space="preserve">555 362 16 64                                   </t>
  </si>
  <si>
    <t>Alsancak Mah.Şair Eşref Bulv.No:65 D:10</t>
  </si>
  <si>
    <t>Uzm.Dr.Mehmet Tuğrul Sarıoğlu</t>
  </si>
  <si>
    <t xml:space="preserve">232 465 17 28                                   </t>
  </si>
  <si>
    <t xml:space="preserve">532 313 08 44                                   </t>
  </si>
  <si>
    <t xml:space="preserve">Ali Çetinkaya Bulvarı No:66/12 </t>
  </si>
  <si>
    <t>Uzm.Dr Fuat Bozkurt</t>
  </si>
  <si>
    <t>232 463 90 69</t>
  </si>
  <si>
    <t>532 272 73 40</t>
  </si>
  <si>
    <t>Alsancak Mah.Ali Çetinkaya Blv.No:70 K:3 D:303 Sağlık Sit.</t>
  </si>
  <si>
    <t xml:space="preserve">Uzm.Dr. Cüneyt Akaoğlu </t>
  </si>
  <si>
    <t>232 421 14 24</t>
  </si>
  <si>
    <t>Mimar Sinan Mah. Işılay Saygın Sok. No:17 Kat:1</t>
  </si>
  <si>
    <t xml:space="preserve">Uzm.Dr. Hüsnü Miral </t>
  </si>
  <si>
    <t>232 421 53 42</t>
  </si>
  <si>
    <t xml:space="preserve">1359 Sok.No:2/19 A Blok Kızılkanat Sağlık Site.   </t>
  </si>
  <si>
    <t xml:space="preserve">Uzm.Dr. Kemal Uğurbil </t>
  </si>
  <si>
    <t>232 463 95 05</t>
  </si>
  <si>
    <t xml:space="preserve">1391 Sok.4/102   </t>
  </si>
  <si>
    <t xml:space="preserve">Uzm.Dr. Lütfi Arıkan </t>
  </si>
  <si>
    <t>232 422 59 93</t>
  </si>
  <si>
    <t xml:space="preserve">1359 Sok. No:2 D:26 Kızıl Kanat Sağ.Sit. A Blok -   </t>
  </si>
  <si>
    <t>Doç.Dr.Ahmet Bölükbaşı</t>
  </si>
  <si>
    <t xml:space="preserve">232 422 33 03                                   </t>
  </si>
  <si>
    <t xml:space="preserve">532 261 25 50                                   </t>
  </si>
  <si>
    <t>Mimar Sinan Mah. 1420. Sokak No:110 D:6</t>
  </si>
  <si>
    <t>Uzm.Dr.İlgün Canbeyli</t>
  </si>
  <si>
    <t xml:space="preserve">232 422 26 44                                   </t>
  </si>
  <si>
    <t xml:space="preserve">532 252 99 24                                   </t>
  </si>
  <si>
    <t>Mimar Sinan Mah.Ali Çetinkaya Bulv.No:66</t>
  </si>
  <si>
    <t>Uzm.Dr.Yeşim Ateş</t>
  </si>
  <si>
    <t xml:space="preserve">232 463 23 62                                   </t>
  </si>
  <si>
    <t xml:space="preserve">533 227 39 59                                   </t>
  </si>
  <si>
    <t xml:space="preserve">Mimar Sinan Mah.Ziya Gökalp Bul.No:28 D:3/6 </t>
  </si>
  <si>
    <t>Uzm.Dr.Özer Gündüz</t>
  </si>
  <si>
    <t xml:space="preserve">232 464 42 72                                   </t>
  </si>
  <si>
    <t xml:space="preserve">533 524 21 73                                   </t>
  </si>
  <si>
    <t>Mimar Sinan Mah.1394.Sok.No:15/4</t>
  </si>
  <si>
    <t>Prof. Dr. Haluk Hayri Öztekin</t>
  </si>
  <si>
    <t>232 463 04 62</t>
  </si>
  <si>
    <t>532 312 24 04</t>
  </si>
  <si>
    <t>Mimar Sinan Mah.1359 Sok.No:2/54</t>
  </si>
  <si>
    <t>Uzm.Dr.Özgür Akşan</t>
  </si>
  <si>
    <t>232 404 00 61</t>
  </si>
  <si>
    <t>505 525 00 61</t>
  </si>
  <si>
    <t xml:space="preserve">Mimar Sinan Mah.Ziya Gökalp Bul.No:28 D:1 </t>
  </si>
  <si>
    <t xml:space="preserve">Prof. Dr. Özer Badak </t>
  </si>
  <si>
    <t xml:space="preserve">232 463 11 66         </t>
  </si>
  <si>
    <t xml:space="preserve">542 217 03 72                  </t>
  </si>
  <si>
    <t xml:space="preserve">Ali Çetinkaya Bulvarı No:52 D:18 </t>
  </si>
  <si>
    <t>Uzm Dr. Ecmel Erdağ</t>
  </si>
  <si>
    <t xml:space="preserve">262 642 89 45            </t>
  </si>
  <si>
    <t xml:space="preserve">532 415 37 39                                   </t>
  </si>
  <si>
    <t>Hacı Halıl 1221 Sok.No: 5 D:1-3    K: 2</t>
  </si>
  <si>
    <t>Gebze</t>
  </si>
  <si>
    <t>Uzm Dr. Serdar Kaman</t>
  </si>
  <si>
    <t xml:space="preserve">262 644 58 38                                   </t>
  </si>
  <si>
    <t xml:space="preserve">555 345 25 55                                   </t>
  </si>
  <si>
    <t xml:space="preserve">Endos Tanı Merkezi Osman Yılmaz Mah. Hasan Tahsin Büyükçoban Cad. 608/1 Sok. No:3 K:2 D:3 </t>
  </si>
  <si>
    <t>Uzm.Dr.Gülten Türkkanı Asal</t>
  </si>
  <si>
    <t xml:space="preserve">262 325 95 74                                   </t>
  </si>
  <si>
    <t>Körfez Mah.Sanayi Cad.Berk Sok.No:418 K:4</t>
  </si>
  <si>
    <t xml:space="preserve"> </t>
  </si>
  <si>
    <t>İzmit</t>
  </si>
  <si>
    <t>Prof. Dr. Ahmet Alponat</t>
  </si>
  <si>
    <t>262 321 97 64</t>
  </si>
  <si>
    <t>Fethiye C .Dar S. Patır İş Merkezi No:3</t>
  </si>
  <si>
    <t>Prof. Dr. İbrahim Gürkan Keskin</t>
  </si>
  <si>
    <t xml:space="preserve">262 322 30 35  </t>
  </si>
  <si>
    <t xml:space="preserve">532 778 81 75  </t>
  </si>
  <si>
    <t>Körfez Mah. Sanayi Cad. Berk Sok. Dolphin İş Merkezi D:509</t>
  </si>
  <si>
    <t>Prof. Dr.Birol Vural</t>
  </si>
  <si>
    <t xml:space="preserve">262 325 00 65                                   </t>
  </si>
  <si>
    <t xml:space="preserve">532 417 32 92                                   </t>
  </si>
  <si>
    <t>Karabaş Mah Cumhuriyet Cad İpek Apt No:168/5</t>
  </si>
  <si>
    <t>Uzm. Dr. Ali Hakan Ergenekon</t>
  </si>
  <si>
    <t>262 322 19 46</t>
  </si>
  <si>
    <t>532 315 85 98</t>
  </si>
  <si>
    <t>Demiryolu C. No:143/1</t>
  </si>
  <si>
    <t>Uzm. Dr. Mehmet Suat Gürkan</t>
  </si>
  <si>
    <t xml:space="preserve">262 321 11 44                                   </t>
  </si>
  <si>
    <t xml:space="preserve">532 385 21 87                                   </t>
  </si>
  <si>
    <t>Şahabettin Bilgisu Cad. No:77 kat:4 Daire:4 Saraybahçe</t>
  </si>
  <si>
    <t>Uzm. Dr. Necati Günaltay</t>
  </si>
  <si>
    <t>262 323 03 68</t>
  </si>
  <si>
    <t xml:space="preserve">532 559 99 56 </t>
  </si>
  <si>
    <t xml:space="preserve">Karabaş Mah. Cumhuriyet Caddesi NO:158 D:3 </t>
  </si>
  <si>
    <t>Prof.Dr.Mete İşeri</t>
  </si>
  <si>
    <t xml:space="preserve">262 322 30 35                                   </t>
  </si>
  <si>
    <t xml:space="preserve">532 778 81 75                                   </t>
  </si>
  <si>
    <t xml:space="preserve">Körfez Mah. Ahmet Ergüneş Sok. No:17 D:4 </t>
  </si>
  <si>
    <t>Uzm. Dr. İnci Çavuşoğlu</t>
  </si>
  <si>
    <t xml:space="preserve">262 322 37 37              </t>
  </si>
  <si>
    <t xml:space="preserve">532 336 85 91                                   </t>
  </si>
  <si>
    <t xml:space="preserve">Hürriyet Cad. Es Oray Apt. No:113/4 </t>
  </si>
  <si>
    <t>Uzm. Dr. Onur Kalkan</t>
  </si>
  <si>
    <t xml:space="preserve">252 212 91 40                                   </t>
  </si>
  <si>
    <t xml:space="preserve">532 563 69 06                                   </t>
  </si>
  <si>
    <t>Hürriyet Cad.  No:13/A K:1</t>
  </si>
  <si>
    <t>Manisa</t>
  </si>
  <si>
    <t>Prof. Dr. Tevfik Güvenal</t>
  </si>
  <si>
    <t xml:space="preserve">236 238 12 00             </t>
  </si>
  <si>
    <t xml:space="preserve">532 413 85 70 </t>
  </si>
  <si>
    <t>1. Anafartalar Mah.1614. Sok. No:5/1</t>
  </si>
  <si>
    <t>Şehzadeler</t>
  </si>
  <si>
    <t xml:space="preserve">Uzm. Dr. Özgür Atlı </t>
  </si>
  <si>
    <t xml:space="preserve">236 239 44 33                                   </t>
  </si>
  <si>
    <t xml:space="preserve">532 749 93 63                                   </t>
  </si>
  <si>
    <t xml:space="preserve">2. Anafartalar Mah. Atatürk Bulv. No:17/1 </t>
  </si>
  <si>
    <t>Uzm. Dr. Ali Hafta</t>
  </si>
  <si>
    <t>324 233 49 47</t>
  </si>
  <si>
    <t>532 684 99 59</t>
  </si>
  <si>
    <t>Kiremithane Mah. Dr. Cemalettin Tanrı Över Sok. No7 Doğuş Hastanesi</t>
  </si>
  <si>
    <t>Akdeniz</t>
  </si>
  <si>
    <t>Uzm. Dr. Nihal Öcal</t>
  </si>
  <si>
    <t>324 233 59 77</t>
  </si>
  <si>
    <t>532 272 29 72</t>
  </si>
  <si>
    <t>4406. S. No:18/4</t>
  </si>
  <si>
    <t>Uzm.Dr.Atıl Aktaş</t>
  </si>
  <si>
    <t xml:space="preserve">534 722 31 22                                   </t>
  </si>
  <si>
    <t xml:space="preserve">532 347 94 30                                   </t>
  </si>
  <si>
    <t xml:space="preserve">Turgutreis Mah. İstiklal Cad.4112 Sok.Armoni İŞH. No:7 D:5 </t>
  </si>
  <si>
    <t>Doç. Dr. Gültekin Altıntaş</t>
  </si>
  <si>
    <t>324 232 68 64</t>
  </si>
  <si>
    <t>532 446 19 40</t>
  </si>
  <si>
    <t>4406. S. C Blok No:13/1</t>
  </si>
  <si>
    <t>Kiremithane Mah.</t>
  </si>
  <si>
    <t>Prof. Dr. Murat Bozlu</t>
  </si>
  <si>
    <t xml:space="preserve">324 331 03 01    </t>
  </si>
  <si>
    <t xml:space="preserve">532 468 21 61                                   </t>
  </si>
  <si>
    <t xml:space="preserve">Dumlupınar Mah. 1506. Sok. No:7/3/4 </t>
  </si>
  <si>
    <t>Yenişehir</t>
  </si>
  <si>
    <t xml:space="preserve">Prof. Dr. Aynur Özge </t>
  </si>
  <si>
    <t xml:space="preserve">324 331 02 01                              </t>
  </si>
  <si>
    <t xml:space="preserve">532 662 31 80       </t>
  </si>
  <si>
    <t>Güvenevler Mah. 1914 Sok. Bosspoint İş Merkezi A Blok Kat 2 D:5 Yenişehir</t>
  </si>
  <si>
    <t xml:space="preserve">Uzm. Dr. Ahmet Murat Akşit </t>
  </si>
  <si>
    <t xml:space="preserve">252 313 13 11                                   </t>
  </si>
  <si>
    <t xml:space="preserve">532 571 89 03                                   </t>
  </si>
  <si>
    <t>Ortakentyahşi Mah. Cumhuriyet Caddesi No:68/1</t>
  </si>
  <si>
    <t>Bodrum</t>
  </si>
  <si>
    <t>Uzm. Dr. Defne Tanacı</t>
  </si>
  <si>
    <t>252 313 80 70</t>
  </si>
  <si>
    <t>505 383 77 86</t>
  </si>
  <si>
    <t>Güvençer Özel Sağlık Hizmetleri Konacık Mah. Kıbrıs Şehitleri Cad. No:367/1</t>
  </si>
  <si>
    <t>Uzm. Dr. Şermin Güvençer</t>
  </si>
  <si>
    <t xml:space="preserve">252 313 80 70 </t>
  </si>
  <si>
    <t>535 923 32 16</t>
  </si>
  <si>
    <t>Güvençer Özel Sağlık Hizmetleri Konacık M. Kıbrıs Şehitleri C. No:367/1</t>
  </si>
  <si>
    <t>Uzm. Dr.Çağda Çelikten Öncel</t>
  </si>
  <si>
    <t xml:space="preserve">252 319 25 36                                   </t>
  </si>
  <si>
    <t xml:space="preserve">505 876 49 89                                   </t>
  </si>
  <si>
    <t>Cevat Şakir Mah.Kıbrıs Şehitleri Cad.No:337</t>
  </si>
  <si>
    <t>Uzm.Dr.Defne Tanacı</t>
  </si>
  <si>
    <t xml:space="preserve">252 319 32 99                                   </t>
  </si>
  <si>
    <t xml:space="preserve">505 383 77 86                                   </t>
  </si>
  <si>
    <t>Konacık Mah.Kazım Karabekir Cad.No:6/B-1</t>
  </si>
  <si>
    <t>Uzm.Dr.Nedret  Tanacı</t>
  </si>
  <si>
    <t xml:space="preserve">505 383 77 85                                   </t>
  </si>
  <si>
    <t>Konacık Mah.Dedebekirler Sok. Fatih Sultan Mehmet Cad.No:7</t>
  </si>
  <si>
    <t xml:space="preserve">Bodrum </t>
  </si>
  <si>
    <t>Uzm. Dr. Meltem Koçak</t>
  </si>
  <si>
    <t>252 317 20 20-21</t>
  </si>
  <si>
    <t>Kıbrıs Şehitleri Cad.No:250 D:1-2</t>
  </si>
  <si>
    <t>Uzm. Dr. Sibel Kılıçaslan</t>
  </si>
  <si>
    <t xml:space="preserve">252 317 05 28                                   </t>
  </si>
  <si>
    <t xml:space="preserve">532 261 37 93                                   </t>
  </si>
  <si>
    <t xml:space="preserve">Yeniköy Severcan Cad. No: D Blok K: 2 Zeytindalı 2 Evleri  </t>
  </si>
  <si>
    <t>Yeniköy</t>
  </si>
  <si>
    <t>Uzm. Dr. Güven Paşaoğlu</t>
  </si>
  <si>
    <t>252 417 74 55</t>
  </si>
  <si>
    <t>537 697 82 32</t>
  </si>
  <si>
    <t>Hatipirimi M. Yunus Nadi C. No:11/4</t>
  </si>
  <si>
    <t>Marmaris</t>
  </si>
  <si>
    <t>Uzm.Dr.Özcan Özkumova</t>
  </si>
  <si>
    <t xml:space="preserve">252 417 74 75                                   </t>
  </si>
  <si>
    <t xml:space="preserve">532 500 02 01                                   </t>
  </si>
  <si>
    <t>Siteler Mah.Kemal Seyfettin Elgin Bulv.No:58</t>
  </si>
  <si>
    <t xml:space="preserve">Uzm.Dr. Vehip Keskin </t>
  </si>
  <si>
    <t xml:space="preserve">252 214 26 25               </t>
  </si>
  <si>
    <t xml:space="preserve">535 278 93 74 </t>
  </si>
  <si>
    <t>Hastane Cad. No:10/3</t>
  </si>
  <si>
    <t>Uzm. Dr. Turgay Şenen</t>
  </si>
  <si>
    <t>264 281 34 44</t>
  </si>
  <si>
    <t>532 232 09 90</t>
  </si>
  <si>
    <t>Semerciler Mah. Pabuçcular C. No:9/1-2</t>
  </si>
  <si>
    <t>Adapazarı</t>
  </si>
  <si>
    <t>Sakarya</t>
  </si>
  <si>
    <t>Uzm. Dr. Bülent Hazer</t>
  </si>
  <si>
    <t xml:space="preserve">264 210 18 82                                   </t>
  </si>
  <si>
    <t xml:space="preserve">532 624 98 66                                   </t>
  </si>
  <si>
    <t xml:space="preserve">İstiklal Mah. 2. Cadde No:69 </t>
  </si>
  <si>
    <t>Serdivan</t>
  </si>
  <si>
    <t>Uzm.Dr.Gül Fındık</t>
  </si>
  <si>
    <t xml:space="preserve">362 437 55 62                                   </t>
  </si>
  <si>
    <t xml:space="preserve">533 445 16 31                                   </t>
  </si>
  <si>
    <t>Mimarsinan Mah. Alparslan Bulvarı No:23 D:3</t>
  </si>
  <si>
    <t>Atakum</t>
  </si>
  <si>
    <t>Uzm.Dr.Murat Mallı</t>
  </si>
  <si>
    <t xml:space="preserve">362 431 69 00                                   </t>
  </si>
  <si>
    <t xml:space="preserve">532 410 35 45                                   </t>
  </si>
  <si>
    <t>Ulugazi Mah.İstiklal Cad.No:22 K:2 D:8</t>
  </si>
  <si>
    <t>İlkadım</t>
  </si>
  <si>
    <t>Uzm.Dr.Abdüziz Gültürk</t>
  </si>
  <si>
    <t xml:space="preserve">346 215 05 55                                   </t>
  </si>
  <si>
    <t xml:space="preserve">533 383 63 88                                   </t>
  </si>
  <si>
    <t>Örtülüpınar Mah.İstasyon Cad.Büyük Otel Yanı On Ocak Apt.No:5</t>
  </si>
  <si>
    <t>Sivas</t>
  </si>
  <si>
    <t>Prof. Dr. Altan Yıldırım</t>
  </si>
  <si>
    <t>342 325 11 11</t>
  </si>
  <si>
    <t>505 581 19 45</t>
  </si>
  <si>
    <t>Mücahitler Mah.52062 Sok.No:5/B</t>
  </si>
  <si>
    <t>Uzm. Dr. Metin Kurt</t>
  </si>
  <si>
    <t xml:space="preserve">282 652 45 97      </t>
  </si>
  <si>
    <t xml:space="preserve">532 291 53 51         </t>
  </si>
  <si>
    <t>Omurtak Cad. İstanbul kısmı No:81 K:1 D:3</t>
  </si>
  <si>
    <t>Çorlu</t>
  </si>
  <si>
    <t>Tekirdağ</t>
  </si>
  <si>
    <t>Uzm. Dr. Serdar Yılmaz</t>
  </si>
  <si>
    <t xml:space="preserve">282 651 20 20                                   </t>
  </si>
  <si>
    <t>536 955 61 34</t>
  </si>
  <si>
    <t>Kazimiye Mah. Omurtak Cad. Gürmen Apt. K:1 D:6</t>
  </si>
  <si>
    <t>Uzm. Dr. Yekta Önder</t>
  </si>
  <si>
    <t>282 652 30 80</t>
  </si>
  <si>
    <t>Kazımiye Mah. Akıncılar C. No:14/6</t>
  </si>
  <si>
    <t>Uzm.Dr.Aysun Nedime Beyazıt</t>
  </si>
  <si>
    <t xml:space="preserve">226 811 29 37                                   </t>
  </si>
  <si>
    <t xml:space="preserve">506 682 60 13                                   </t>
  </si>
  <si>
    <t xml:space="preserve">Süleyman Bey Mah.Cumhuriyet Cad.No:11 D:6 </t>
  </si>
  <si>
    <t>Yalova</t>
  </si>
  <si>
    <t>Enflasyon Oranı</t>
  </si>
  <si>
    <t>SİP NO</t>
  </si>
  <si>
    <t>TARIH</t>
  </si>
  <si>
    <t>MÜŞTERİ KODU</t>
  </si>
  <si>
    <t>SATICI</t>
  </si>
  <si>
    <t>ÜNVANI</t>
  </si>
  <si>
    <t>İLİ</t>
  </si>
  <si>
    <t>BÖLGESİ</t>
  </si>
  <si>
    <t>ÜLKESİ</t>
  </si>
  <si>
    <t>ÜRÜN NO</t>
  </si>
  <si>
    <t>ÜRÜN TANIMI</t>
  </si>
  <si>
    <t>ÜRÜN GRUBU</t>
  </si>
  <si>
    <t>MİKTAR</t>
  </si>
  <si>
    <t>FIYAT</t>
  </si>
  <si>
    <t>TUTAR</t>
  </si>
  <si>
    <t>FC0001</t>
  </si>
  <si>
    <t>AKTAŞ TİC.</t>
  </si>
  <si>
    <t>ADANA</t>
  </si>
  <si>
    <t>AKDENİZ</t>
  </si>
  <si>
    <t>TÜRKİYE</t>
  </si>
  <si>
    <t>ABC-001</t>
  </si>
  <si>
    <t>TV-SCART CARD 123</t>
  </si>
  <si>
    <t>ELEKTRONİK</t>
  </si>
  <si>
    <t>ABC-002</t>
  </si>
  <si>
    <t>TV-SCART CARD 124</t>
  </si>
  <si>
    <t>ABC-003-V01</t>
  </si>
  <si>
    <t>TV-JACK-45</t>
  </si>
  <si>
    <t>MALZEME</t>
  </si>
  <si>
    <t>FC0002</t>
  </si>
  <si>
    <t>BOL TİCARET</t>
  </si>
  <si>
    <t>ANKARA</t>
  </si>
  <si>
    <t>ANADOLU</t>
  </si>
  <si>
    <t>ABC-004-TV02</t>
  </si>
  <si>
    <t>TV-EKRAN-FC</t>
  </si>
  <si>
    <t>TELEVİZYON</t>
  </si>
  <si>
    <t>ABC-0050-C01</t>
  </si>
  <si>
    <t>ANA KART</t>
  </si>
  <si>
    <t>ABC-0060-ZA2</t>
  </si>
  <si>
    <t>TV-ZET-LE-41</t>
  </si>
  <si>
    <t>FC0003</t>
  </si>
  <si>
    <t>CAN AŞ</t>
  </si>
  <si>
    <t>ANTALYA</t>
  </si>
  <si>
    <t>ABR-060-Z02</t>
  </si>
  <si>
    <t>TV-EKRAN-XYZ</t>
  </si>
  <si>
    <t>FC0004</t>
  </si>
  <si>
    <t>SEYMEN AŞ</t>
  </si>
  <si>
    <t>İSTANBUL</t>
  </si>
  <si>
    <t>MARMARA</t>
  </si>
  <si>
    <t>TV-SCART CARD 127</t>
  </si>
  <si>
    <t>FC0005</t>
  </si>
  <si>
    <t>BİZİM TİC.</t>
  </si>
  <si>
    <t>FC0006</t>
  </si>
  <si>
    <t>DİNÇER TİCARET</t>
  </si>
  <si>
    <t>İZMİR</t>
  </si>
  <si>
    <t>EGE</t>
  </si>
  <si>
    <t>FC0007</t>
  </si>
  <si>
    <t>İZMİR AŞ</t>
  </si>
  <si>
    <t>MANİSA</t>
  </si>
  <si>
    <t>FC0008</t>
  </si>
  <si>
    <t>HÜRRİYET TİCARET</t>
  </si>
  <si>
    <t>MERSİN</t>
  </si>
  <si>
    <t>FC0009</t>
  </si>
  <si>
    <t>EREN TİCARET</t>
  </si>
  <si>
    <t>FC0010</t>
  </si>
  <si>
    <t>ÖRNEKLER HOLDİNG</t>
  </si>
  <si>
    <t>FC0011</t>
  </si>
  <si>
    <t>ÖRNEK PAZARLAMA</t>
  </si>
  <si>
    <t>FC0012</t>
  </si>
  <si>
    <t>FERHAN PAZARLAMA</t>
  </si>
  <si>
    <t>FC0013</t>
  </si>
  <si>
    <t>YÜZLER TİCARET</t>
  </si>
  <si>
    <t>FC0014</t>
  </si>
  <si>
    <t>GÜVEN TİCARET</t>
  </si>
  <si>
    <t>FC0015</t>
  </si>
  <si>
    <t>REHA PAZARLAMA</t>
  </si>
  <si>
    <t>FC0016</t>
  </si>
  <si>
    <t>ÖRNEK TİC.</t>
  </si>
  <si>
    <t>BALIKESİR</t>
  </si>
  <si>
    <t>FC0017</t>
  </si>
  <si>
    <t>ERTAN AŞ</t>
  </si>
  <si>
    <t>FC0018</t>
  </si>
  <si>
    <t>FC0019</t>
  </si>
  <si>
    <t>MUSLU LTD</t>
  </si>
  <si>
    <t>FC0020</t>
  </si>
  <si>
    <t>YILMAZ LTD</t>
  </si>
  <si>
    <t>FC0021</t>
  </si>
  <si>
    <t>YAMAN LTD</t>
  </si>
  <si>
    <t>FC0022</t>
  </si>
  <si>
    <t>ERDEM HOLDİNG</t>
  </si>
  <si>
    <t>FC0023</t>
  </si>
  <si>
    <t>FC0024</t>
  </si>
  <si>
    <t>FC0025</t>
  </si>
  <si>
    <t>FC0026</t>
  </si>
  <si>
    <t>FC0027</t>
  </si>
  <si>
    <t>FC0028</t>
  </si>
  <si>
    <t>FC0029</t>
  </si>
  <si>
    <t>FC0030</t>
  </si>
  <si>
    <t>FC0031</t>
  </si>
  <si>
    <t>FC0032</t>
  </si>
  <si>
    <t>FC0033</t>
  </si>
  <si>
    <t>FC0034</t>
  </si>
  <si>
    <t>FC0035</t>
  </si>
  <si>
    <t>FC0036</t>
  </si>
  <si>
    <t>FC0037</t>
  </si>
  <si>
    <t>FC0038</t>
  </si>
  <si>
    <t>FC0039</t>
  </si>
  <si>
    <t>FC0040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</si>
</sst>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#,##0\ &quot;₺&quot;;[Red]\-#,##0\ &quot;₺&quot;"/>
    <numFmt numFmtId="8" formatCode="#,##0.00\ &quot;₺&quot;;[Red]\-#,##0.00\ &quot;₺&quot;"/>
    <numFmt numFmtId="44" formatCode="_-* #,##0.00\ &quot;₺&quot;_-;\-* #,##0.00\ &quot;₺&quot;_-;_-* &quot;-&quot;??\ &quot;₺&quot;_-;_-@_-"/>
    <numFmt numFmtId="43" formatCode="_-* #,##0.00\ _₺_-;\-* #,##0.00\ _₺_-;_-* &quot;-&quot;??\ _₺_-;_-@_-"/>
    <numFmt numFmtId="164" formatCode="#,##0\ &quot;₺&quot;"/>
    <numFmt numFmtId="165" formatCode="0.000"/>
    <numFmt numFmtId="166" formatCode="_(* #,##0.00_);_(* \(#,##0.00\);_(* &quot;-&quot;??_);_(@_)"/>
    <numFmt numFmtId="167" formatCode="_-* #,##0.00\ &quot;TL&quot;_-;\-* #,##0.00\ &quot;TL&quot;_-;_-* &quot;-&quot;??\ &quot;TL&quot;_-;_-@_-"/>
    <numFmt numFmtId="168" formatCode="_(* #,##0_);_(* \(#,##0\);_(* &quot;-&quot;??_);_(@_)"/>
    <numFmt numFmtId="173" formatCode="000"/>
    <numFmt numFmtId="174" formatCode="#0"/>
    <numFmt numFmtId="175" formatCode="0000"/>
  </numFmts>
  <fonts count="34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0"/>
      <name val="Arial Tur"/>
    </font>
    <font>
      <b/>
      <sz val="9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0"/>
      <name val="Arial"/>
      <family val="2"/>
    </font>
    <font>
      <sz val="10"/>
      <name val="Arial Tur"/>
      <charset val="162"/>
    </font>
    <font>
      <u/>
      <sz val="10"/>
      <color indexed="12"/>
      <name val="Arial"/>
      <family val="2"/>
    </font>
    <font>
      <b/>
      <sz val="7.5"/>
      <name val="Arial Narrow"/>
      <family val="2"/>
    </font>
    <font>
      <sz val="10"/>
      <name val="Futura Bk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sz val="6"/>
      <name val="Times New Roman"/>
      <family val="1"/>
    </font>
    <font>
      <b/>
      <sz val="16"/>
      <name val="Arial Narrow"/>
      <family val="2"/>
    </font>
    <font>
      <sz val="11"/>
      <color indexed="8"/>
      <name val="Calibri"/>
      <family val="2"/>
    </font>
    <font>
      <sz val="10"/>
      <name val="Futura Bk"/>
      <family val="2"/>
    </font>
    <font>
      <sz val="12"/>
      <name val="Arial Tur"/>
      <family val="2"/>
      <charset val="162"/>
    </font>
    <font>
      <sz val="11"/>
      <name val="Arial Tur"/>
    </font>
    <font>
      <sz val="12"/>
      <name val="Weidemann"/>
    </font>
    <font>
      <sz val="12"/>
      <color indexed="8"/>
      <name val="Arial"/>
      <family val="2"/>
      <charset val="162"/>
    </font>
    <font>
      <b/>
      <sz val="9"/>
      <color theme="0"/>
      <name val="Arial"/>
      <family val="2"/>
      <charset val="162"/>
    </font>
    <font>
      <sz val="9"/>
      <color indexed="8"/>
      <name val="Arial"/>
      <family val="2"/>
      <charset val="162"/>
    </font>
    <font>
      <sz val="9"/>
      <color theme="1"/>
      <name val="Arial"/>
      <family val="2"/>
      <charset val="162"/>
    </font>
    <font>
      <b/>
      <sz val="9"/>
      <color theme="1"/>
      <name val="Arial"/>
      <family val="2"/>
      <charset val="162"/>
    </font>
    <font>
      <sz val="12"/>
      <name val="Weidemann"/>
      <charset val="162"/>
    </font>
    <font>
      <sz val="12"/>
      <color theme="1"/>
      <name val="Arial"/>
      <family val="2"/>
      <charset val="162"/>
    </font>
    <font>
      <sz val="11"/>
      <name val="Arial Tur"/>
      <family val="2"/>
      <charset val="162"/>
    </font>
    <font>
      <sz val="9"/>
      <name val="Arial"/>
      <family val="2"/>
      <charset val="162"/>
    </font>
    <font>
      <b/>
      <sz val="16"/>
      <name val="Arial"/>
      <family val="2"/>
      <charset val="162"/>
    </font>
    <font>
      <sz val="9"/>
      <color rgb="FF000000"/>
      <name val="Arial"/>
      <family val="2"/>
      <charset val="162"/>
    </font>
    <font>
      <b/>
      <sz val="9"/>
      <name val="Arial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4" fillId="0" borderId="0"/>
    <xf numFmtId="43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18">
      <alignment horizontal="left" wrapText="1"/>
      <protection locked="0"/>
    </xf>
    <xf numFmtId="0" fontId="12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1" fillId="0" borderId="0"/>
    <xf numFmtId="0" fontId="13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5" fillId="0" borderId="0">
      <alignment horizontal="left"/>
      <protection locked="0"/>
    </xf>
    <xf numFmtId="9" fontId="4" fillId="0" borderId="0" applyFont="0" applyFill="0" applyBorder="0" applyAlignment="0" applyProtection="0"/>
    <xf numFmtId="0" fontId="16" fillId="0" borderId="0"/>
    <xf numFmtId="166" fontId="17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1" fillId="0" borderId="0"/>
    <xf numFmtId="0" fontId="21" fillId="0" borderId="0">
      <alignment vertical="justify"/>
    </xf>
    <xf numFmtId="0" fontId="21" fillId="0" borderId="0">
      <alignment vertical="justify"/>
    </xf>
    <xf numFmtId="0" fontId="13" fillId="0" borderId="0"/>
    <xf numFmtId="0" fontId="27" fillId="0" borderId="0"/>
    <xf numFmtId="0" fontId="13" fillId="0" borderId="0"/>
    <xf numFmtId="0" fontId="9" fillId="0" borderId="0"/>
    <xf numFmtId="0" fontId="13" fillId="0" borderId="0"/>
    <xf numFmtId="0" fontId="14" fillId="0" borderId="0"/>
    <xf numFmtId="0" fontId="13" fillId="0" borderId="0"/>
    <xf numFmtId="0" fontId="27" fillId="0" borderId="0"/>
    <xf numFmtId="0" fontId="13" fillId="0" borderId="0"/>
    <xf numFmtId="0" fontId="1" fillId="0" borderId="0"/>
    <xf numFmtId="0" fontId="1" fillId="0" borderId="0"/>
    <xf numFmtId="166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4">
    <xf numFmtId="0" fontId="0" fillId="0" borderId="0" xfId="0"/>
    <xf numFmtId="0" fontId="2" fillId="2" borderId="1" xfId="3" applyFont="1" applyFill="1" applyBorder="1"/>
    <xf numFmtId="0" fontId="3" fillId="2" borderId="2" xfId="3" applyNumberFormat="1" applyFont="1" applyFill="1" applyBorder="1" applyAlignment="1"/>
    <xf numFmtId="0" fontId="1" fillId="0" borderId="0" xfId="3"/>
    <xf numFmtId="0" fontId="4" fillId="0" borderId="0" xfId="4"/>
    <xf numFmtId="2" fontId="1" fillId="0" borderId="0" xfId="3" applyNumberFormat="1"/>
    <xf numFmtId="43" fontId="1" fillId="0" borderId="0" xfId="5" applyFont="1"/>
    <xf numFmtId="2" fontId="0" fillId="0" borderId="0" xfId="0" applyNumberFormat="1"/>
    <xf numFmtId="43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8" fontId="0" fillId="0" borderId="8" xfId="0" applyNumberFormat="1" applyBorder="1"/>
    <xf numFmtId="0" fontId="0" fillId="0" borderId="9" xfId="0" applyBorder="1"/>
    <xf numFmtId="8" fontId="0" fillId="0" borderId="10" xfId="0" applyNumberFormat="1" applyBorder="1"/>
    <xf numFmtId="0" fontId="0" fillId="0" borderId="1" xfId="0" applyBorder="1" applyAlignment="1">
      <alignment horizontal="center" vertical="center" wrapText="1"/>
    </xf>
    <xf numFmtId="10" fontId="0" fillId="0" borderId="1" xfId="0" applyNumberFormat="1" applyBorder="1" applyAlignment="1">
      <alignment horizontal="center"/>
    </xf>
    <xf numFmtId="6" fontId="0" fillId="0" borderId="10" xfId="0" applyNumberFormat="1" applyBorder="1"/>
    <xf numFmtId="0" fontId="0" fillId="0" borderId="11" xfId="0" applyBorder="1"/>
    <xf numFmtId="0" fontId="0" fillId="0" borderId="12" xfId="0" applyBorder="1"/>
    <xf numFmtId="0" fontId="7" fillId="0" borderId="13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6" fontId="0" fillId="0" borderId="14" xfId="0" applyNumberFormat="1" applyBorder="1"/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 vertical="center" textRotation="90"/>
    </xf>
    <xf numFmtId="10" fontId="0" fillId="0" borderId="15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16" xfId="0" applyBorder="1"/>
    <xf numFmtId="6" fontId="0" fillId="0" borderId="1" xfId="0" applyNumberFormat="1" applyBorder="1"/>
    <xf numFmtId="6" fontId="0" fillId="0" borderId="8" xfId="0" applyNumberFormat="1" applyBorder="1"/>
    <xf numFmtId="0" fontId="0" fillId="0" borderId="1" xfId="0" applyBorder="1"/>
    <xf numFmtId="165" fontId="0" fillId="0" borderId="17" xfId="0" applyNumberFormat="1" applyBorder="1"/>
    <xf numFmtId="165" fontId="0" fillId="0" borderId="10" xfId="0" applyNumberFormat="1" applyBorder="1"/>
    <xf numFmtId="0" fontId="1" fillId="0" borderId="0" xfId="3" applyFont="1"/>
    <xf numFmtId="0" fontId="0" fillId="0" borderId="0" xfId="3" applyFont="1"/>
    <xf numFmtId="0" fontId="1" fillId="0" borderId="0" xfId="17"/>
    <xf numFmtId="0" fontId="2" fillId="0" borderId="0" xfId="17" applyFont="1"/>
    <xf numFmtId="14" fontId="1" fillId="0" borderId="0" xfId="17" applyNumberFormat="1"/>
    <xf numFmtId="1" fontId="1" fillId="0" borderId="0" xfId="17" applyNumberFormat="1"/>
    <xf numFmtId="9" fontId="0" fillId="0" borderId="0" xfId="2" applyFont="1"/>
    <xf numFmtId="14" fontId="0" fillId="0" borderId="0" xfId="0" applyNumberFormat="1"/>
    <xf numFmtId="10" fontId="0" fillId="0" borderId="0" xfId="2" applyNumberFormat="1" applyFont="1"/>
    <xf numFmtId="22" fontId="0" fillId="0" borderId="0" xfId="0" applyNumberFormat="1"/>
    <xf numFmtId="0" fontId="0" fillId="0" borderId="0" xfId="0" quotePrefix="1"/>
    <xf numFmtId="0" fontId="19" fillId="3" borderId="1" xfId="0" applyFont="1" applyFill="1" applyBorder="1"/>
    <xf numFmtId="0" fontId="19" fillId="3" borderId="19" xfId="0" applyFont="1" applyFill="1" applyBorder="1"/>
    <xf numFmtId="0" fontId="19" fillId="0" borderId="1" xfId="0" applyFont="1" applyBorder="1" applyAlignment="1">
      <alignment horizontal="right"/>
    </xf>
    <xf numFmtId="168" fontId="19" fillId="0" borderId="1" xfId="1" applyNumberFormat="1" applyFont="1" applyBorder="1"/>
    <xf numFmtId="168" fontId="0" fillId="4" borderId="0" xfId="0" applyNumberFormat="1" applyFill="1"/>
    <xf numFmtId="0" fontId="0" fillId="4" borderId="0" xfId="0" applyFill="1"/>
    <xf numFmtId="168" fontId="0" fillId="0" borderId="0" xfId="0" applyNumberFormat="1"/>
    <xf numFmtId="0" fontId="19" fillId="0" borderId="1" xfId="0" applyFont="1" applyFill="1" applyBorder="1" applyAlignment="1">
      <alignment horizontal="right"/>
    </xf>
    <xf numFmtId="168" fontId="20" fillId="4" borderId="1" xfId="0" applyNumberFormat="1" applyFont="1" applyFill="1" applyBorder="1"/>
    <xf numFmtId="168" fontId="0" fillId="2" borderId="0" xfId="0" applyNumberFormat="1" applyFill="1"/>
    <xf numFmtId="0" fontId="22" fillId="0" borderId="0" xfId="33" applyFont="1" applyFill="1" applyBorder="1" applyAlignment="1">
      <alignment vertical="center" wrapText="1"/>
    </xf>
    <xf numFmtId="0" fontId="23" fillId="0" borderId="18" xfId="34" applyNumberFormat="1" applyFont="1" applyFill="1" applyBorder="1" applyAlignment="1">
      <alignment horizontal="left" vertical="center" wrapText="1"/>
    </xf>
    <xf numFmtId="0" fontId="23" fillId="0" borderId="18" xfId="34" applyNumberFormat="1" applyFont="1" applyFill="1" applyBorder="1" applyAlignment="1">
      <alignment horizontal="center" vertical="center" wrapText="1"/>
    </xf>
    <xf numFmtId="0" fontId="24" fillId="0" borderId="0" xfId="33" applyFont="1" applyFill="1" applyBorder="1" applyAlignment="1">
      <alignment vertical="center" wrapText="1"/>
    </xf>
    <xf numFmtId="0" fontId="25" fillId="0" borderId="2" xfId="35" applyFont="1" applyFill="1" applyBorder="1" applyAlignment="1">
      <alignment horizontal="left" vertical="center" wrapText="1"/>
    </xf>
    <xf numFmtId="2" fontId="26" fillId="0" borderId="2" xfId="36" applyNumberFormat="1" applyFont="1" applyFill="1" applyBorder="1" applyAlignment="1">
      <alignment horizontal="center" vertical="center" wrapText="1"/>
    </xf>
    <xf numFmtId="2" fontId="28" fillId="0" borderId="2" xfId="37" applyNumberFormat="1" applyFont="1" applyFill="1" applyBorder="1" applyAlignment="1">
      <alignment horizontal="center" vertical="justify"/>
    </xf>
    <xf numFmtId="2" fontId="26" fillId="0" borderId="0" xfId="36" applyNumberFormat="1" applyFont="1" applyFill="1" applyBorder="1" applyAlignment="1">
      <alignment horizontal="center" vertical="center" wrapText="1"/>
    </xf>
    <xf numFmtId="2" fontId="26" fillId="0" borderId="19" xfId="36" applyNumberFormat="1" applyFont="1" applyFill="1" applyBorder="1" applyAlignment="1">
      <alignment horizontal="center" vertical="center" wrapText="1"/>
    </xf>
    <xf numFmtId="0" fontId="25" fillId="0" borderId="19" xfId="35" applyFont="1" applyFill="1" applyBorder="1" applyAlignment="1">
      <alignment horizontal="left" vertical="center" wrapText="1"/>
    </xf>
    <xf numFmtId="0" fontId="25" fillId="0" borderId="19" xfId="34" applyFont="1" applyFill="1" applyBorder="1" applyAlignment="1">
      <alignment horizontal="left" vertical="center" wrapText="1"/>
    </xf>
    <xf numFmtId="2" fontId="28" fillId="0" borderId="19" xfId="37" applyNumberFormat="1" applyFont="1" applyFill="1" applyBorder="1" applyAlignment="1">
      <alignment horizontal="center" vertical="justify"/>
    </xf>
    <xf numFmtId="2" fontId="28" fillId="0" borderId="0" xfId="37" applyNumberFormat="1" applyFont="1" applyFill="1" applyBorder="1" applyAlignment="1">
      <alignment horizontal="center" vertical="justify"/>
    </xf>
    <xf numFmtId="0" fontId="25" fillId="0" borderId="15" xfId="35" applyFont="1" applyFill="1" applyBorder="1" applyAlignment="1">
      <alignment horizontal="left" vertical="center" wrapText="1"/>
    </xf>
    <xf numFmtId="2" fontId="26" fillId="0" borderId="15" xfId="36" applyNumberFormat="1" applyFont="1" applyFill="1" applyBorder="1" applyAlignment="1">
      <alignment horizontal="center" vertical="center" wrapText="1"/>
    </xf>
    <xf numFmtId="2" fontId="28" fillId="0" borderId="15" xfId="37" applyNumberFormat="1" applyFont="1" applyFill="1" applyBorder="1" applyAlignment="1">
      <alignment horizontal="center" vertical="justify"/>
    </xf>
    <xf numFmtId="0" fontId="22" fillId="0" borderId="0" xfId="37" applyFont="1" applyFill="1" applyBorder="1" applyAlignment="1">
      <alignment horizontal="left" vertical="justify"/>
    </xf>
    <xf numFmtId="0" fontId="22" fillId="0" borderId="0" xfId="33" applyFont="1" applyFill="1" applyBorder="1" applyAlignment="1">
      <alignment horizontal="left" vertical="center" wrapText="1"/>
    </xf>
    <xf numFmtId="2" fontId="26" fillId="6" borderId="2" xfId="36" applyNumberFormat="1" applyFont="1" applyFill="1" applyBorder="1" applyAlignment="1">
      <alignment horizontal="center" vertical="center" wrapText="1"/>
    </xf>
    <xf numFmtId="0" fontId="23" fillId="5" borderId="20" xfId="34" applyNumberFormat="1" applyFont="1" applyFill="1" applyBorder="1" applyAlignment="1">
      <alignment horizontal="center" vertical="center" wrapText="1"/>
    </xf>
    <xf numFmtId="0" fontId="0" fillId="3" borderId="0" xfId="0" applyFill="1"/>
    <xf numFmtId="0" fontId="29" fillId="0" borderId="0" xfId="0" applyFont="1" applyAlignment="1">
      <alignment horizontal="left"/>
    </xf>
    <xf numFmtId="0" fontId="2" fillId="0" borderId="0" xfId="0" applyFont="1"/>
    <xf numFmtId="173" fontId="30" fillId="0" borderId="0" xfId="34" applyNumberFormat="1" applyFont="1" applyFill="1" applyBorder="1" applyAlignment="1">
      <alignment horizontal="center" vertical="center" wrapText="1"/>
    </xf>
    <xf numFmtId="0" fontId="30" fillId="0" borderId="0" xfId="34" applyFont="1" applyFill="1" applyBorder="1" applyAlignment="1">
      <alignment vertical="center" wrapText="1"/>
    </xf>
    <xf numFmtId="0" fontId="30" fillId="0" borderId="0" xfId="34" applyFont="1" applyFill="1" applyBorder="1" applyAlignment="1">
      <alignment horizontal="left" vertical="center" wrapText="1"/>
    </xf>
    <xf numFmtId="0" fontId="30" fillId="0" borderId="0" xfId="34" applyFont="1" applyFill="1" applyBorder="1" applyAlignment="1">
      <alignment horizontal="center" vertical="center" wrapText="1"/>
    </xf>
    <xf numFmtId="0" fontId="31" fillId="7" borderId="0" xfId="34" applyFont="1" applyFill="1" applyBorder="1" applyAlignment="1">
      <alignment horizontal="center" vertical="center" wrapText="1"/>
    </xf>
    <xf numFmtId="0" fontId="31" fillId="8" borderId="0" xfId="34" applyFont="1" applyFill="1" applyBorder="1" applyAlignment="1">
      <alignment vertical="center" wrapText="1"/>
    </xf>
    <xf numFmtId="0" fontId="30" fillId="0" borderId="0" xfId="34" applyFont="1" applyFill="1" applyBorder="1" applyAlignment="1">
      <alignment horizontal="left" vertical="top" wrapText="1"/>
    </xf>
    <xf numFmtId="0" fontId="31" fillId="8" borderId="0" xfId="34" applyFont="1" applyFill="1" applyBorder="1" applyAlignment="1">
      <alignment horizontal="center" vertical="center" wrapText="1"/>
    </xf>
    <xf numFmtId="0" fontId="31" fillId="8" borderId="0" xfId="34" applyFont="1" applyFill="1" applyBorder="1" applyAlignment="1">
      <alignment horizontal="left" vertical="center" wrapText="1"/>
    </xf>
    <xf numFmtId="0" fontId="23" fillId="0" borderId="0" xfId="34" applyNumberFormat="1" applyFont="1" applyFill="1" applyBorder="1" applyAlignment="1">
      <alignment horizontal="center" vertical="center" wrapText="1"/>
    </xf>
    <xf numFmtId="0" fontId="23" fillId="0" borderId="2" xfId="34" applyNumberFormat="1" applyFont="1" applyFill="1" applyBorder="1" applyAlignment="1">
      <alignment horizontal="center" vertical="center" wrapText="1"/>
    </xf>
    <xf numFmtId="0" fontId="30" fillId="7" borderId="0" xfId="34" applyFont="1" applyFill="1" applyBorder="1" applyAlignment="1">
      <alignment horizontal="left" vertical="justify" wrapText="1"/>
    </xf>
    <xf numFmtId="0" fontId="30" fillId="0" borderId="2" xfId="34" applyFont="1" applyFill="1" applyBorder="1" applyAlignment="1">
      <alignment horizontal="center" vertical="center" wrapText="1"/>
    </xf>
    <xf numFmtId="0" fontId="30" fillId="0" borderId="22" xfId="34" applyFont="1" applyFill="1" applyBorder="1" applyAlignment="1">
      <alignment horizontal="left" vertical="center" wrapText="1"/>
    </xf>
    <xf numFmtId="0" fontId="30" fillId="0" borderId="21" xfId="34" applyFont="1" applyFill="1" applyBorder="1" applyAlignment="1">
      <alignment horizontal="left" vertical="center" wrapText="1"/>
    </xf>
    <xf numFmtId="0" fontId="30" fillId="0" borderId="2" xfId="34" applyFont="1" applyFill="1" applyBorder="1" applyAlignment="1">
      <alignment horizontal="left" vertical="center" wrapText="1"/>
    </xf>
    <xf numFmtId="0" fontId="30" fillId="0" borderId="21" xfId="34" applyFont="1" applyFill="1" applyBorder="1" applyAlignment="1">
      <alignment horizontal="center" vertical="center" wrapText="1"/>
    </xf>
    <xf numFmtId="0" fontId="30" fillId="0" borderId="19" xfId="34" applyFont="1" applyFill="1" applyBorder="1" applyAlignment="1">
      <alignment horizontal="center" vertical="center" wrapText="1"/>
    </xf>
    <xf numFmtId="0" fontId="30" fillId="0" borderId="24" xfId="34" applyFont="1" applyFill="1" applyBorder="1" applyAlignment="1">
      <alignment horizontal="left" vertical="center" wrapText="1"/>
    </xf>
    <xf numFmtId="0" fontId="30" fillId="0" borderId="19" xfId="34" applyFont="1" applyFill="1" applyBorder="1" applyAlignment="1">
      <alignment horizontal="left" vertical="center" wrapText="1"/>
    </xf>
    <xf numFmtId="0" fontId="30" fillId="0" borderId="19" xfId="34" applyNumberFormat="1" applyFont="1" applyFill="1" applyBorder="1" applyAlignment="1">
      <alignment horizontal="center" vertical="center" wrapText="1"/>
    </xf>
    <xf numFmtId="174" fontId="25" fillId="0" borderId="19" xfId="37" applyNumberFormat="1" applyFont="1" applyFill="1" applyBorder="1" applyAlignment="1">
      <alignment horizontal="center" vertical="center"/>
    </xf>
    <xf numFmtId="0" fontId="30" fillId="0" borderId="24" xfId="37" applyFont="1" applyFill="1" applyBorder="1" applyAlignment="1">
      <alignment horizontal="left" vertical="center" wrapText="1"/>
    </xf>
    <xf numFmtId="0" fontId="30" fillId="0" borderId="0" xfId="37" applyFont="1" applyFill="1" applyBorder="1" applyAlignment="1">
      <alignment horizontal="left" vertical="center" wrapText="1"/>
    </xf>
    <xf numFmtId="0" fontId="25" fillId="0" borderId="19" xfId="37" applyFont="1" applyFill="1" applyBorder="1" applyAlignment="1">
      <alignment horizontal="left" vertical="center" wrapText="1"/>
    </xf>
    <xf numFmtId="0" fontId="25" fillId="0" borderId="0" xfId="37" applyFont="1" applyFill="1" applyBorder="1" applyAlignment="1">
      <alignment horizontal="left" vertical="center" wrapText="1"/>
    </xf>
    <xf numFmtId="0" fontId="25" fillId="0" borderId="0" xfId="37" applyFont="1" applyFill="1" applyBorder="1" applyAlignment="1">
      <alignment horizontal="center" vertical="center" wrapText="1"/>
    </xf>
    <xf numFmtId="0" fontId="25" fillId="0" borderId="19" xfId="37" applyFont="1" applyFill="1" applyBorder="1" applyAlignment="1">
      <alignment horizontal="center" vertical="center" wrapText="1"/>
    </xf>
    <xf numFmtId="0" fontId="30" fillId="7" borderId="0" xfId="34" applyFont="1" applyFill="1" applyBorder="1" applyAlignment="1">
      <alignment vertical="center" wrapText="1"/>
    </xf>
    <xf numFmtId="0" fontId="30" fillId="0" borderId="0" xfId="34" applyFont="1" applyFill="1" applyAlignment="1">
      <alignment horizontal="left" vertical="center" wrapText="1"/>
    </xf>
    <xf numFmtId="0" fontId="30" fillId="0" borderId="0" xfId="34" applyFont="1" applyFill="1" applyAlignment="1">
      <alignment horizontal="center" vertical="center" wrapText="1"/>
    </xf>
    <xf numFmtId="0" fontId="25" fillId="0" borderId="19" xfId="37" applyFont="1" applyFill="1" applyBorder="1" applyAlignment="1">
      <alignment horizontal="center" vertical="center"/>
    </xf>
    <xf numFmtId="0" fontId="25" fillId="0" borderId="24" xfId="37" applyFont="1" applyFill="1" applyBorder="1" applyAlignment="1">
      <alignment horizontal="left" vertical="center" wrapText="1"/>
    </xf>
    <xf numFmtId="0" fontId="30" fillId="0" borderId="19" xfId="37" applyFont="1" applyFill="1" applyBorder="1" applyAlignment="1">
      <alignment horizontal="center" vertical="center" wrapText="1"/>
    </xf>
    <xf numFmtId="0" fontId="30" fillId="0" borderId="24" xfId="37" applyFont="1" applyFill="1" applyBorder="1" applyAlignment="1">
      <alignment vertical="center" wrapText="1"/>
    </xf>
    <xf numFmtId="0" fontId="30" fillId="0" borderId="19" xfId="37" applyFont="1" applyFill="1" applyBorder="1" applyAlignment="1">
      <alignment vertical="center" wrapText="1"/>
    </xf>
    <xf numFmtId="0" fontId="30" fillId="0" borderId="0" xfId="37" applyFont="1" applyFill="1" applyBorder="1" applyAlignment="1">
      <alignment horizontal="center" vertical="center" wrapText="1"/>
    </xf>
    <xf numFmtId="0" fontId="30" fillId="0" borderId="0" xfId="37" applyFont="1" applyBorder="1" applyAlignment="1">
      <alignment vertical="center"/>
    </xf>
    <xf numFmtId="0" fontId="30" fillId="0" borderId="19" xfId="37" applyFont="1" applyFill="1" applyBorder="1" applyAlignment="1">
      <alignment horizontal="left" vertical="center" wrapText="1"/>
    </xf>
    <xf numFmtId="0" fontId="32" fillId="0" borderId="24" xfId="37" applyFont="1" applyBorder="1" applyAlignment="1">
      <alignment vertical="center"/>
    </xf>
    <xf numFmtId="0" fontId="32" fillId="0" borderId="19" xfId="37" applyFont="1" applyFill="1" applyBorder="1" applyAlignment="1">
      <alignment horizontal="left" vertical="center" wrapText="1"/>
    </xf>
    <xf numFmtId="0" fontId="25" fillId="0" borderId="19" xfId="34" applyFont="1" applyFill="1" applyBorder="1" applyAlignment="1">
      <alignment horizontal="center" vertical="center" wrapText="1"/>
    </xf>
    <xf numFmtId="0" fontId="25" fillId="0" borderId="24" xfId="34" applyFont="1" applyFill="1" applyBorder="1" applyAlignment="1">
      <alignment horizontal="left" vertical="center" wrapText="1"/>
    </xf>
    <xf numFmtId="0" fontId="25" fillId="0" borderId="0" xfId="34" applyFont="1" applyFill="1" applyBorder="1" applyAlignment="1">
      <alignment horizontal="left" vertical="center" wrapText="1"/>
    </xf>
    <xf numFmtId="0" fontId="25" fillId="0" borderId="0" xfId="34" applyFont="1" applyFill="1" applyBorder="1" applyAlignment="1">
      <alignment horizontal="center" vertical="center" wrapText="1"/>
    </xf>
    <xf numFmtId="0" fontId="30" fillId="0" borderId="0" xfId="37" applyFont="1" applyFill="1" applyBorder="1" applyAlignment="1">
      <alignment horizontal="left" vertical="center"/>
    </xf>
    <xf numFmtId="0" fontId="30" fillId="0" borderId="24" xfId="37" applyFont="1" applyFill="1" applyBorder="1" applyAlignment="1">
      <alignment vertical="center"/>
    </xf>
    <xf numFmtId="0" fontId="30" fillId="0" borderId="19" xfId="37" applyFont="1" applyFill="1" applyBorder="1" applyAlignment="1">
      <alignment vertical="center"/>
    </xf>
    <xf numFmtId="0" fontId="25" fillId="0" borderId="0" xfId="37" applyNumberFormat="1" applyFont="1" applyFill="1" applyBorder="1" applyAlignment="1">
      <alignment horizontal="center" vertical="center" wrapText="1"/>
    </xf>
    <xf numFmtId="0" fontId="25" fillId="0" borderId="19" xfId="37" applyNumberFormat="1" applyFont="1" applyFill="1" applyBorder="1" applyAlignment="1">
      <alignment horizontal="center" vertical="center" wrapText="1"/>
    </xf>
    <xf numFmtId="0" fontId="25" fillId="0" borderId="19" xfId="37" applyFont="1" applyFill="1" applyBorder="1" applyAlignment="1">
      <alignment vertical="center"/>
    </xf>
    <xf numFmtId="0" fontId="30" fillId="0" borderId="23" xfId="34" applyFont="1" applyFill="1" applyBorder="1" applyAlignment="1">
      <alignment horizontal="left" vertical="center" wrapText="1"/>
    </xf>
    <xf numFmtId="0" fontId="30" fillId="0" borderId="24" xfId="37" applyFont="1" applyBorder="1" applyAlignment="1">
      <alignment vertical="center"/>
    </xf>
    <xf numFmtId="0" fontId="30" fillId="0" borderId="19" xfId="37" applyFont="1" applyBorder="1" applyAlignment="1">
      <alignment vertical="justify"/>
    </xf>
    <xf numFmtId="0" fontId="30" fillId="0" borderId="24" xfId="34" applyFont="1" applyFill="1" applyBorder="1" applyAlignment="1">
      <alignment horizontal="center" vertical="center" wrapText="1"/>
    </xf>
    <xf numFmtId="0" fontId="30" fillId="7" borderId="0" xfId="34" applyFont="1" applyFill="1" applyBorder="1" applyAlignment="1">
      <alignment horizontal="center" vertical="center" wrapText="1"/>
    </xf>
    <xf numFmtId="0" fontId="30" fillId="7" borderId="0" xfId="34" applyFont="1" applyFill="1" applyBorder="1" applyAlignment="1">
      <alignment horizontal="left" vertical="center" wrapText="1"/>
    </xf>
    <xf numFmtId="0" fontId="4" fillId="9" borderId="0" xfId="4" applyFill="1" applyAlignment="1">
      <alignment horizontal="left"/>
    </xf>
    <xf numFmtId="49" fontId="4" fillId="0" borderId="0" xfId="4" applyNumberFormat="1"/>
    <xf numFmtId="14" fontId="4" fillId="0" borderId="0" xfId="4" applyNumberFormat="1"/>
    <xf numFmtId="175" fontId="29" fillId="0" borderId="0" xfId="4" applyNumberFormat="1" applyFont="1" applyAlignment="1">
      <alignment horizontal="left"/>
    </xf>
    <xf numFmtId="4" fontId="4" fillId="0" borderId="0" xfId="4" applyNumberFormat="1"/>
  </cellXfs>
  <cellStyles count="56">
    <cellStyle name="Comma 2" xfId="6"/>
    <cellStyle name="Comma 2 2" xfId="7"/>
    <cellStyle name="Comma 2 3" xfId="47"/>
    <cellStyle name="Comma 3" xfId="8"/>
    <cellStyle name="Currency 2" xfId="9"/>
    <cellStyle name="Currency 3" xfId="10"/>
    <cellStyle name="Köprü 2" xfId="11"/>
    <cellStyle name="Label" xfId="12"/>
    <cellStyle name="Normal" xfId="0" builtinId="0"/>
    <cellStyle name="Normal 10" xfId="13"/>
    <cellStyle name="Normal 11" xfId="14"/>
    <cellStyle name="Normal 12" xfId="15"/>
    <cellStyle name="Normal 13" xfId="3"/>
    <cellStyle name="Normal 14" xfId="16"/>
    <cellStyle name="Normal 14 2" xfId="45"/>
    <cellStyle name="Normal 15" xfId="17"/>
    <cellStyle name="Normal 15 2" xfId="46"/>
    <cellStyle name="Normal 16" xfId="37"/>
    <cellStyle name="Normal 17" xfId="48"/>
    <cellStyle name="Normal 18" xfId="49"/>
    <cellStyle name="Normal 19 2" xfId="50"/>
    <cellStyle name="Normal 2" xfId="4"/>
    <cellStyle name="Normal 2 2" xfId="18"/>
    <cellStyle name="Normal 2 3" xfId="38"/>
    <cellStyle name="Normal 2 7" xfId="51"/>
    <cellStyle name="Normal 20" xfId="52"/>
    <cellStyle name="Normal 3" xfId="19"/>
    <cellStyle name="Normal 3 2" xfId="39"/>
    <cellStyle name="Normal 3 3" xfId="40"/>
    <cellStyle name="Normal 4" xfId="20"/>
    <cellStyle name="Normal 4 2" xfId="41"/>
    <cellStyle name="Normal 4 3" xfId="42"/>
    <cellStyle name="Normal 5" xfId="21"/>
    <cellStyle name="Normal 6" xfId="22"/>
    <cellStyle name="Normal 6 2" xfId="43"/>
    <cellStyle name="Normal 6 3" xfId="44"/>
    <cellStyle name="Normal 7" xfId="23"/>
    <cellStyle name="Normal 8" xfId="24"/>
    <cellStyle name="Normal 9" xfId="25"/>
    <cellStyle name="Normal_0010-ANL.KUR.LİSTESİ" xfId="34"/>
    <cellStyle name="Normal_0010-ANL.KUR.LİSTESİ 2" xfId="35"/>
    <cellStyle name="Normal_CHECKUP TABLO" xfId="36"/>
    <cellStyle name="Normal_KONTROL MAMOGRAFİ MERKEZ ve FİYATLARI" xfId="33"/>
    <cellStyle name="PartNo" xfId="26"/>
    <cellStyle name="Percent 2" xfId="27"/>
    <cellStyle name="Profile" xfId="28"/>
    <cellStyle name="Virgül" xfId="1" builtinId="3"/>
    <cellStyle name="Virgül 2" xfId="5"/>
    <cellStyle name="Virgül 2 2" xfId="53"/>
    <cellStyle name="Virgül 3" xfId="29"/>
    <cellStyle name="Virgül 4" xfId="30"/>
    <cellStyle name="Virgül 5" xfId="31"/>
    <cellStyle name="Virgül 6" xfId="54"/>
    <cellStyle name="Virgül 7" xfId="55"/>
    <cellStyle name="Yüzde" xfId="2" builtinId="5"/>
    <cellStyle name="Yüzde 2" xfId="32"/>
  </cellStyles>
  <dxfs count="36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ont>
        <color rgb="FF00B05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KISAYOLLAR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11</xdr:row>
      <xdr:rowOff>9525</xdr:rowOff>
    </xdr:from>
    <xdr:to>
      <xdr:col>2</xdr:col>
      <xdr:colOff>200026</xdr:colOff>
      <xdr:row>16</xdr:row>
      <xdr:rowOff>0</xdr:rowOff>
    </xdr:to>
    <xdr:cxnSp macro="">
      <xdr:nvCxnSpPr>
        <xdr:cNvPr id="2" name="Düz Ok Bağlayıcısı 1">
          <a:extLst>
            <a:ext uri="{FF2B5EF4-FFF2-40B4-BE49-F238E27FC236}">
              <a16:creationId xmlns:a16="http://schemas.microsoft.com/office/drawing/2014/main" xmlns="" id="{5874B207-5551-442E-85D2-638B1019B5C0}"/>
            </a:ext>
          </a:extLst>
        </xdr:cNvPr>
        <xdr:cNvCxnSpPr/>
      </xdr:nvCxnSpPr>
      <xdr:spPr>
        <a:xfrm flipV="1">
          <a:off x="2105025" y="2143125"/>
          <a:ext cx="1" cy="942975"/>
        </a:xfrm>
        <a:prstGeom prst="straightConnector1">
          <a:avLst/>
        </a:prstGeom>
        <a:ln w="381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11</xdr:row>
      <xdr:rowOff>28575</xdr:rowOff>
    </xdr:from>
    <xdr:to>
      <xdr:col>3</xdr:col>
      <xdr:colOff>466726</xdr:colOff>
      <xdr:row>16</xdr:row>
      <xdr:rowOff>19050</xdr:rowOff>
    </xdr:to>
    <xdr:cxnSp macro="">
      <xdr:nvCxnSpPr>
        <xdr:cNvPr id="3" name="Düz Ok Bağlayıcısı 2">
          <a:extLst>
            <a:ext uri="{FF2B5EF4-FFF2-40B4-BE49-F238E27FC236}">
              <a16:creationId xmlns:a16="http://schemas.microsoft.com/office/drawing/2014/main" xmlns="" id="{DE686D96-2D55-4AFC-985F-CAF28F216E6E}"/>
            </a:ext>
          </a:extLst>
        </xdr:cNvPr>
        <xdr:cNvCxnSpPr/>
      </xdr:nvCxnSpPr>
      <xdr:spPr>
        <a:xfrm flipV="1">
          <a:off x="3095625" y="2162175"/>
          <a:ext cx="1" cy="942975"/>
        </a:xfrm>
        <a:prstGeom prst="straightConnector1">
          <a:avLst/>
        </a:prstGeom>
        <a:ln w="381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828675</xdr:colOff>
      <xdr:row>16</xdr:row>
      <xdr:rowOff>47625</xdr:rowOff>
    </xdr:from>
    <xdr:to>
      <xdr:col>3</xdr:col>
      <xdr:colOff>133350</xdr:colOff>
      <xdr:row>20</xdr:row>
      <xdr:rowOff>95250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xmlns="" id="{A7C3EBC8-5152-4B7D-A200-87709DD45C96}"/>
            </a:ext>
          </a:extLst>
        </xdr:cNvPr>
        <xdr:cNvSpPr/>
      </xdr:nvSpPr>
      <xdr:spPr>
        <a:xfrm>
          <a:off x="1438275" y="3133725"/>
          <a:ext cx="1323975" cy="809625"/>
        </a:xfrm>
        <a:prstGeom prst="rect">
          <a:avLst/>
        </a:prstGeom>
        <a:solidFill>
          <a:schemeClr val="accent6"/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Aylık 50.000 TL ödemek için faiz oranı kaç olmalıdır?</a:t>
          </a:r>
        </a:p>
      </xdr:txBody>
    </xdr:sp>
    <xdr:clientData/>
  </xdr:twoCellAnchor>
  <xdr:twoCellAnchor>
    <xdr:from>
      <xdr:col>3</xdr:col>
      <xdr:colOff>400050</xdr:colOff>
      <xdr:row>16</xdr:row>
      <xdr:rowOff>47625</xdr:rowOff>
    </xdr:from>
    <xdr:to>
      <xdr:col>4</xdr:col>
      <xdr:colOff>1085850</xdr:colOff>
      <xdr:row>20</xdr:row>
      <xdr:rowOff>95250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xmlns="" id="{05550B66-551C-47D7-9666-A416770BCC24}"/>
            </a:ext>
          </a:extLst>
        </xdr:cNvPr>
        <xdr:cNvSpPr/>
      </xdr:nvSpPr>
      <xdr:spPr>
        <a:xfrm>
          <a:off x="3028950" y="3133725"/>
          <a:ext cx="1323975" cy="809625"/>
        </a:xfrm>
        <a:prstGeom prst="rect">
          <a:avLst/>
        </a:prstGeom>
        <a:solidFill>
          <a:schemeClr val="accent6"/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Aylık 25.000 TL ödemek için faiz oranı kaç olmalıdır?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0</xdr:rowOff>
        </xdr:from>
        <xdr:to>
          <xdr:col>14</xdr:col>
          <xdr:colOff>485775</xdr:colOff>
          <xdr:row>14</xdr:row>
          <xdr:rowOff>9525</xdr:rowOff>
        </xdr:to>
        <xdr:sp macro="" textlink="">
          <xdr:nvSpPr>
            <xdr:cNvPr id="11265" name="ScrollBar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504825</xdr:colOff>
          <xdr:row>2</xdr:row>
          <xdr:rowOff>161925</xdr:rowOff>
        </xdr:from>
        <xdr:to>
          <xdr:col>18</xdr:col>
          <xdr:colOff>657225</xdr:colOff>
          <xdr:row>4</xdr:row>
          <xdr:rowOff>28575</xdr:rowOff>
        </xdr:to>
        <xdr:sp macro="" textlink="">
          <xdr:nvSpPr>
            <xdr:cNvPr id="11266" name="CheckBox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</xdr:colOff>
      <xdr:row>0</xdr:row>
      <xdr:rowOff>125679</xdr:rowOff>
    </xdr:from>
    <xdr:to>
      <xdr:col>1</xdr:col>
      <xdr:colOff>557999</xdr:colOff>
      <xdr:row>2</xdr:row>
      <xdr:rowOff>259</xdr:rowOff>
    </xdr:to>
    <xdr:pic>
      <xdr:nvPicPr>
        <xdr:cNvPr id="2" name="Picture 7" descr="http://theopulentmall.com/images/home.png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490B8AD-4C55-430A-B474-DA9436268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bg2">
              <a:shade val="45000"/>
              <a:satMod val="135000"/>
            </a:schemeClr>
            <a:prstClr val="white"/>
          </a:duotone>
          <a:extLst/>
        </a:blip>
        <a:srcRect/>
        <a:stretch>
          <a:fillRect/>
        </a:stretch>
      </xdr:blipFill>
      <xdr:spPr bwMode="auto">
        <a:xfrm>
          <a:off x="442912" y="125679"/>
          <a:ext cx="438937" cy="446080"/>
        </a:xfrm>
        <a:prstGeom prst="rect">
          <a:avLst/>
        </a:prstGeom>
        <a:noFill/>
        <a:extLst/>
      </xdr:spPr>
    </xdr:pic>
    <xdr:clientData/>
  </xdr:twoCellAnchor>
  <xdr:twoCellAnchor editAs="oneCell">
    <xdr:from>
      <xdr:col>8</xdr:col>
      <xdr:colOff>266700</xdr:colOff>
      <xdr:row>0</xdr:row>
      <xdr:rowOff>28575</xdr:rowOff>
    </xdr:from>
    <xdr:to>
      <xdr:col>10</xdr:col>
      <xdr:colOff>38100</xdr:colOff>
      <xdr:row>1</xdr:row>
      <xdr:rowOff>276225</xdr:rowOff>
    </xdr:to>
    <xdr:pic>
      <xdr:nvPicPr>
        <xdr:cNvPr id="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28575"/>
          <a:ext cx="129540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323849</xdr:colOff>
          <xdr:row>1</xdr:row>
          <xdr:rowOff>76199</xdr:rowOff>
        </xdr:from>
        <xdr:to>
          <xdr:col>12</xdr:col>
          <xdr:colOff>504824</xdr:colOff>
          <xdr:row>4</xdr:row>
          <xdr:rowOff>28574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pc/AppData/Local/Temp/Rar$DIa13544.625/Veri%20Tablosu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pc/AppData/Local/Temp/Rar$DIa3896.14756/Hedef%20Ar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yg_d03_butce_orne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i Tablosu  - Tek Değişken"/>
      <sheetName val="Veri Tablosu  - Çoklu Değişken"/>
    </sheetNames>
    <sheetDataSet>
      <sheetData sheetId="0">
        <row r="5">
          <cell r="C5">
            <v>0.12</v>
          </cell>
        </row>
        <row r="6">
          <cell r="C6">
            <v>360</v>
          </cell>
        </row>
        <row r="7">
          <cell r="C7">
            <v>5000000</v>
          </cell>
        </row>
        <row r="8">
          <cell r="C8">
            <v>0</v>
          </cell>
        </row>
        <row r="9">
          <cell r="C9">
            <v>-51430.629846275217</v>
          </cell>
        </row>
        <row r="10">
          <cell r="C10">
            <v>1</v>
          </cell>
        </row>
        <row r="11">
          <cell r="C11">
            <v>12</v>
          </cell>
        </row>
        <row r="12">
          <cell r="C12">
            <v>-599023.59081914765</v>
          </cell>
        </row>
        <row r="13">
          <cell r="C13">
            <v>-18143.967336155001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def Ara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tce_Ozet"/>
      <sheetName val="Butce_Detay"/>
      <sheetName val="Dolaylı"/>
    </sheetNames>
    <sheetDataSet>
      <sheetData sheetId="0" refreshError="1"/>
      <sheetData sheetId="1">
        <row r="1">
          <cell r="B1" t="str">
            <v>Ay</v>
          </cell>
          <cell r="C1" t="str">
            <v>Kategori</v>
          </cell>
          <cell r="D1" t="str">
            <v>Tutar</v>
          </cell>
        </row>
        <row r="2">
          <cell r="B2">
            <v>1</v>
          </cell>
          <cell r="C2" t="str">
            <v>Reklam</v>
          </cell>
          <cell r="D2">
            <v>500</v>
          </cell>
        </row>
        <row r="3">
          <cell r="B3">
            <v>1</v>
          </cell>
          <cell r="C3" t="str">
            <v>Reklam</v>
          </cell>
          <cell r="D3">
            <v>900</v>
          </cell>
        </row>
        <row r="4">
          <cell r="B4">
            <v>2</v>
          </cell>
          <cell r="C4" t="str">
            <v>Reklam</v>
          </cell>
          <cell r="D4">
            <v>700</v>
          </cell>
        </row>
        <row r="5">
          <cell r="B5">
            <v>1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1</v>
          </cell>
        </row>
      </sheetData>
      <sheetData sheetId="2" refreshError="1"/>
    </sheetDataSet>
  </externalBook>
</externalLink>
</file>

<file path=xl/queryTables/queryTable1.xml><?xml version="1.0" encoding="utf-8"?>
<queryTable xmlns="http://schemas.openxmlformats.org/spreadsheetml/2006/main" name="aygaz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3" displayName="Table13" ref="B1:O94" totalsRowShown="0" headerRowDxfId="35" dataDxfId="34" headerRowBorderDxfId="32" tableBorderDxfId="33" headerRowCellStyle="Normal 3" dataCellStyle="Normal 5">
  <sortState ref="B2:N96">
    <sortCondition ref="D5:D99"/>
    <sortCondition ref="C5:C99"/>
  </sortState>
  <tableColumns count="14">
    <tableColumn id="1" name="KOD" dataDxfId="31"/>
    <tableColumn id="2" name="Kurum Adı" dataDxfId="30"/>
    <tableColumn id="3" name="İL" dataDxfId="29"/>
    <tableColumn id="4" name="Genel Sağlık Paneli" dataDxfId="28"/>
    <tableColumn id="5" name="Kardiak Panel-1" dataDxfId="27"/>
    <tableColumn id="6" name="Kardiak Panel-2" dataDxfId="26"/>
    <tableColumn id="7" name="Metabolizma Kontrol Paneli" dataDxfId="25"/>
    <tableColumn id="8" name="Tiroid Paneli" dataDxfId="24"/>
    <tableColumn id="9" name="Jinekolojik Panel" dataDxfId="23"/>
    <tableColumn id="10" name="Jinekolojik Panel-2" dataDxfId="22"/>
    <tableColumn id="11" name="Osteoporoz Paneli" dataDxfId="21"/>
    <tableColumn id="12" name="Uyku-Apne Paneli" dataDxfId="20"/>
    <tableColumn id="13" name="Üroloji Panel " dataDxfId="19"/>
    <tableColumn id="14" name="Koroner BT Anj." dataDxfId="1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Table5" displayName="Table5" ref="B4:J630" totalsRowShown="0" headerRowDxfId="17" dataDxfId="16" headerRowBorderDxfId="14" tableBorderDxfId="15" headerRowCellStyle="Normal 16">
  <sortState ref="B5:J630">
    <sortCondition ref="J5:J630"/>
    <sortCondition ref="I5:I630"/>
    <sortCondition ref="H5:H630"/>
  </sortState>
  <tableColumns count="9">
    <tableColumn id="1" name="KOD" dataDxfId="13"/>
    <tableColumn id="2" name="HEKİM ADI" dataDxfId="12"/>
    <tableColumn id="3" name="UZMANLIK DALI" dataDxfId="11"/>
    <tableColumn id="4" name="TEL" dataDxfId="10"/>
    <tableColumn id="5" name="GSM" dataDxfId="9"/>
    <tableColumn id="6" name="ADRES" dataDxfId="8"/>
    <tableColumn id="7" name="SEMT" dataDxfId="7"/>
    <tableColumn id="8" name="İLÇE" dataDxfId="6"/>
    <tableColumn id="9" name="İL" dataDxfId="5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queryTable" Target="../queryTables/queryTable1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1"/>
  <dimension ref="A1:BC35"/>
  <sheetViews>
    <sheetView workbookViewId="0">
      <selection activeCell="P11" sqref="P11"/>
    </sheetView>
  </sheetViews>
  <sheetFormatPr defaultRowHeight="15"/>
  <cols>
    <col min="1" max="1" width="14.28515625" style="40" bestFit="1" customWidth="1"/>
    <col min="2" max="2" width="18.42578125" style="40" bestFit="1" customWidth="1"/>
    <col min="3" max="3" width="10.140625" style="40" bestFit="1" customWidth="1"/>
    <col min="4" max="4" width="4.42578125" style="40" customWidth="1"/>
    <col min="5" max="55" width="3.28515625" style="40" customWidth="1"/>
    <col min="56" max="16384" width="9.140625" style="40"/>
  </cols>
  <sheetData>
    <row r="1" spans="1:55">
      <c r="D1" s="41">
        <v>1</v>
      </c>
      <c r="E1" s="41">
        <v>2</v>
      </c>
      <c r="F1" s="41">
        <v>3</v>
      </c>
      <c r="G1" s="41">
        <v>4</v>
      </c>
      <c r="H1" s="41">
        <v>5</v>
      </c>
      <c r="I1" s="41">
        <v>6</v>
      </c>
      <c r="J1" s="41">
        <v>7</v>
      </c>
      <c r="K1" s="41">
        <v>8</v>
      </c>
      <c r="L1" s="41">
        <v>9</v>
      </c>
      <c r="M1" s="41">
        <v>10</v>
      </c>
      <c r="N1" s="41">
        <v>11</v>
      </c>
      <c r="O1" s="41">
        <v>12</v>
      </c>
      <c r="P1" s="41">
        <v>13</v>
      </c>
      <c r="Q1" s="41">
        <v>14</v>
      </c>
      <c r="R1" s="41">
        <v>15</v>
      </c>
      <c r="S1" s="41">
        <v>16</v>
      </c>
      <c r="T1" s="41">
        <v>17</v>
      </c>
      <c r="U1" s="41">
        <v>18</v>
      </c>
      <c r="V1" s="41">
        <v>19</v>
      </c>
      <c r="W1" s="41">
        <v>20</v>
      </c>
      <c r="X1" s="41">
        <v>21</v>
      </c>
      <c r="Y1" s="41">
        <v>22</v>
      </c>
      <c r="Z1" s="41">
        <v>23</v>
      </c>
      <c r="AA1" s="41">
        <v>24</v>
      </c>
      <c r="AB1" s="41">
        <v>25</v>
      </c>
      <c r="AC1" s="41">
        <v>26</v>
      </c>
      <c r="AD1" s="41">
        <v>27</v>
      </c>
      <c r="AE1" s="41">
        <v>28</v>
      </c>
      <c r="AF1" s="41">
        <v>29</v>
      </c>
      <c r="AG1" s="41">
        <v>30</v>
      </c>
      <c r="AH1" s="41">
        <v>31</v>
      </c>
      <c r="AI1" s="41">
        <v>32</v>
      </c>
      <c r="AJ1" s="41">
        <v>33</v>
      </c>
      <c r="AK1" s="41">
        <v>34</v>
      </c>
      <c r="AL1" s="41">
        <v>35</v>
      </c>
      <c r="AM1" s="41">
        <v>36</v>
      </c>
      <c r="AN1" s="41">
        <v>37</v>
      </c>
      <c r="AO1" s="41">
        <v>38</v>
      </c>
      <c r="AP1" s="41">
        <v>39</v>
      </c>
      <c r="AQ1" s="41">
        <v>40</v>
      </c>
      <c r="AR1" s="41">
        <v>41</v>
      </c>
      <c r="AS1" s="41">
        <v>42</v>
      </c>
      <c r="AT1" s="41">
        <v>43</v>
      </c>
      <c r="AU1" s="41">
        <v>44</v>
      </c>
      <c r="AV1" s="41">
        <v>45</v>
      </c>
      <c r="AW1" s="41">
        <v>46</v>
      </c>
      <c r="AX1" s="41">
        <v>47</v>
      </c>
      <c r="AY1" s="41">
        <v>48</v>
      </c>
      <c r="AZ1" s="41">
        <v>49</v>
      </c>
      <c r="BA1" s="41">
        <v>50</v>
      </c>
      <c r="BB1" s="41">
        <v>51</v>
      </c>
      <c r="BC1" s="41">
        <v>52</v>
      </c>
    </row>
    <row r="2" spans="1:55" s="41" customFormat="1">
      <c r="A2" s="41" t="s">
        <v>121</v>
      </c>
      <c r="B2" s="41" t="s">
        <v>122</v>
      </c>
      <c r="C2" s="41" t="s">
        <v>123</v>
      </c>
    </row>
    <row r="3" spans="1:55">
      <c r="A3" s="40" t="s">
        <v>124</v>
      </c>
      <c r="B3" s="40" t="s">
        <v>125</v>
      </c>
      <c r="C3" s="42">
        <v>43835</v>
      </c>
      <c r="D3" s="43" t="str">
        <f>IF(WEEKNUM($C3)=D$1,"X","")</f>
        <v/>
      </c>
      <c r="E3" s="43" t="str">
        <f t="shared" ref="E3:BC7" si="0">IF(WEEKNUM($C3)=E$1,"X","")</f>
        <v>X</v>
      </c>
      <c r="F3" s="43" t="str">
        <f t="shared" si="0"/>
        <v/>
      </c>
      <c r="G3" s="43" t="str">
        <f t="shared" si="0"/>
        <v/>
      </c>
      <c r="H3" s="43" t="str">
        <f t="shared" si="0"/>
        <v/>
      </c>
      <c r="I3" s="43" t="str">
        <f t="shared" si="0"/>
        <v/>
      </c>
      <c r="J3" s="43" t="str">
        <f t="shared" si="0"/>
        <v/>
      </c>
      <c r="K3" s="43" t="str">
        <f t="shared" si="0"/>
        <v/>
      </c>
      <c r="L3" s="43" t="str">
        <f t="shared" si="0"/>
        <v/>
      </c>
      <c r="M3" s="43" t="str">
        <f t="shared" si="0"/>
        <v/>
      </c>
      <c r="N3" s="43" t="str">
        <f t="shared" si="0"/>
        <v/>
      </c>
      <c r="O3" s="43" t="str">
        <f t="shared" si="0"/>
        <v/>
      </c>
      <c r="P3" s="43" t="str">
        <f t="shared" si="0"/>
        <v/>
      </c>
      <c r="Q3" s="43" t="str">
        <f t="shared" si="0"/>
        <v/>
      </c>
      <c r="R3" s="43" t="str">
        <f t="shared" si="0"/>
        <v/>
      </c>
      <c r="S3" s="43" t="str">
        <f t="shared" si="0"/>
        <v/>
      </c>
      <c r="T3" s="43" t="str">
        <f t="shared" si="0"/>
        <v/>
      </c>
      <c r="U3" s="43" t="str">
        <f t="shared" si="0"/>
        <v/>
      </c>
      <c r="V3" s="43" t="str">
        <f t="shared" si="0"/>
        <v/>
      </c>
      <c r="W3" s="43" t="str">
        <f t="shared" si="0"/>
        <v/>
      </c>
      <c r="X3" s="43" t="str">
        <f t="shared" si="0"/>
        <v/>
      </c>
      <c r="Y3" s="43" t="str">
        <f t="shared" si="0"/>
        <v/>
      </c>
      <c r="Z3" s="43" t="str">
        <f t="shared" si="0"/>
        <v/>
      </c>
      <c r="AA3" s="43" t="str">
        <f t="shared" si="0"/>
        <v/>
      </c>
      <c r="AB3" s="43" t="str">
        <f t="shared" si="0"/>
        <v/>
      </c>
      <c r="AC3" s="43" t="str">
        <f t="shared" si="0"/>
        <v/>
      </c>
      <c r="AD3" s="43" t="str">
        <f t="shared" si="0"/>
        <v/>
      </c>
      <c r="AE3" s="43" t="str">
        <f t="shared" si="0"/>
        <v/>
      </c>
      <c r="AF3" s="43" t="str">
        <f t="shared" si="0"/>
        <v/>
      </c>
      <c r="AG3" s="43" t="str">
        <f t="shared" si="0"/>
        <v/>
      </c>
      <c r="AH3" s="43" t="str">
        <f t="shared" si="0"/>
        <v/>
      </c>
      <c r="AI3" s="43" t="str">
        <f t="shared" si="0"/>
        <v/>
      </c>
      <c r="AJ3" s="43" t="str">
        <f t="shared" si="0"/>
        <v/>
      </c>
      <c r="AK3" s="43" t="str">
        <f t="shared" si="0"/>
        <v/>
      </c>
      <c r="AL3" s="43" t="str">
        <f t="shared" si="0"/>
        <v/>
      </c>
      <c r="AM3" s="43" t="str">
        <f t="shared" si="0"/>
        <v/>
      </c>
      <c r="AN3" s="43" t="str">
        <f t="shared" si="0"/>
        <v/>
      </c>
      <c r="AO3" s="43" t="str">
        <f t="shared" si="0"/>
        <v/>
      </c>
      <c r="AP3" s="43" t="str">
        <f t="shared" si="0"/>
        <v/>
      </c>
      <c r="AQ3" s="43" t="str">
        <f t="shared" si="0"/>
        <v/>
      </c>
      <c r="AR3" s="43" t="str">
        <f t="shared" si="0"/>
        <v/>
      </c>
      <c r="AS3" s="43" t="str">
        <f t="shared" si="0"/>
        <v/>
      </c>
      <c r="AT3" s="43" t="str">
        <f t="shared" si="0"/>
        <v/>
      </c>
      <c r="AU3" s="43" t="str">
        <f t="shared" si="0"/>
        <v/>
      </c>
      <c r="AV3" s="43" t="str">
        <f t="shared" si="0"/>
        <v/>
      </c>
      <c r="AW3" s="43" t="str">
        <f t="shared" si="0"/>
        <v/>
      </c>
      <c r="AX3" s="43" t="str">
        <f t="shared" si="0"/>
        <v/>
      </c>
      <c r="AY3" s="43" t="str">
        <f t="shared" si="0"/>
        <v/>
      </c>
      <c r="AZ3" s="43" t="str">
        <f t="shared" si="0"/>
        <v/>
      </c>
      <c r="BA3" s="43" t="str">
        <f t="shared" si="0"/>
        <v/>
      </c>
      <c r="BB3" s="43" t="str">
        <f t="shared" si="0"/>
        <v/>
      </c>
      <c r="BC3" s="43" t="str">
        <f t="shared" si="0"/>
        <v/>
      </c>
    </row>
    <row r="4" spans="1:55">
      <c r="A4" s="40" t="s">
        <v>126</v>
      </c>
      <c r="B4" s="40" t="s">
        <v>127</v>
      </c>
      <c r="C4" s="42">
        <v>43948</v>
      </c>
      <c r="D4" s="43" t="str">
        <f t="shared" ref="D4:S23" si="1">IF(WEEKNUM($C4)=D$1,"X","")</f>
        <v/>
      </c>
      <c r="E4" s="43" t="str">
        <f t="shared" si="0"/>
        <v/>
      </c>
      <c r="F4" s="43" t="str">
        <f t="shared" si="0"/>
        <v/>
      </c>
      <c r="G4" s="43" t="str">
        <f t="shared" si="0"/>
        <v/>
      </c>
      <c r="H4" s="43" t="str">
        <f t="shared" si="0"/>
        <v/>
      </c>
      <c r="I4" s="43" t="str">
        <f t="shared" si="0"/>
        <v/>
      </c>
      <c r="J4" s="43" t="str">
        <f t="shared" si="0"/>
        <v/>
      </c>
      <c r="K4" s="43" t="str">
        <f t="shared" si="0"/>
        <v/>
      </c>
      <c r="L4" s="43" t="str">
        <f t="shared" si="0"/>
        <v/>
      </c>
      <c r="M4" s="43" t="str">
        <f t="shared" si="0"/>
        <v/>
      </c>
      <c r="N4" s="43" t="str">
        <f t="shared" si="0"/>
        <v/>
      </c>
      <c r="O4" s="43" t="str">
        <f t="shared" si="0"/>
        <v/>
      </c>
      <c r="P4" s="43" t="str">
        <f t="shared" si="0"/>
        <v/>
      </c>
      <c r="Q4" s="43" t="str">
        <f t="shared" si="0"/>
        <v/>
      </c>
      <c r="R4" s="43" t="str">
        <f t="shared" si="0"/>
        <v/>
      </c>
      <c r="S4" s="43" t="str">
        <f t="shared" si="0"/>
        <v/>
      </c>
      <c r="T4" s="43" t="str">
        <f t="shared" si="0"/>
        <v/>
      </c>
      <c r="U4" s="43" t="str">
        <f t="shared" si="0"/>
        <v>X</v>
      </c>
      <c r="V4" s="43" t="str">
        <f t="shared" si="0"/>
        <v/>
      </c>
      <c r="W4" s="43" t="str">
        <f t="shared" si="0"/>
        <v/>
      </c>
      <c r="X4" s="43" t="str">
        <f t="shared" si="0"/>
        <v/>
      </c>
      <c r="Y4" s="43" t="str">
        <f t="shared" si="0"/>
        <v/>
      </c>
      <c r="Z4" s="43" t="str">
        <f t="shared" si="0"/>
        <v/>
      </c>
      <c r="AA4" s="43" t="str">
        <f t="shared" si="0"/>
        <v/>
      </c>
      <c r="AB4" s="43" t="str">
        <f t="shared" si="0"/>
        <v/>
      </c>
      <c r="AC4" s="43" t="str">
        <f t="shared" si="0"/>
        <v/>
      </c>
      <c r="AD4" s="43" t="str">
        <f t="shared" si="0"/>
        <v/>
      </c>
      <c r="AE4" s="43" t="str">
        <f t="shared" si="0"/>
        <v/>
      </c>
      <c r="AF4" s="43" t="str">
        <f t="shared" si="0"/>
        <v/>
      </c>
      <c r="AG4" s="43" t="str">
        <f t="shared" si="0"/>
        <v/>
      </c>
      <c r="AH4" s="43" t="str">
        <f t="shared" si="0"/>
        <v/>
      </c>
      <c r="AI4" s="43" t="str">
        <f t="shared" si="0"/>
        <v/>
      </c>
      <c r="AJ4" s="43" t="str">
        <f t="shared" si="0"/>
        <v/>
      </c>
      <c r="AK4" s="43" t="str">
        <f t="shared" si="0"/>
        <v/>
      </c>
      <c r="AL4" s="43" t="str">
        <f t="shared" si="0"/>
        <v/>
      </c>
      <c r="AM4" s="43" t="str">
        <f t="shared" si="0"/>
        <v/>
      </c>
      <c r="AN4" s="43" t="str">
        <f t="shared" si="0"/>
        <v/>
      </c>
      <c r="AO4" s="43" t="str">
        <f t="shared" si="0"/>
        <v/>
      </c>
      <c r="AP4" s="43" t="str">
        <f t="shared" si="0"/>
        <v/>
      </c>
      <c r="AQ4" s="43" t="str">
        <f t="shared" si="0"/>
        <v/>
      </c>
      <c r="AR4" s="43" t="str">
        <f t="shared" si="0"/>
        <v/>
      </c>
      <c r="AS4" s="43" t="str">
        <f t="shared" si="0"/>
        <v/>
      </c>
      <c r="AT4" s="43" t="str">
        <f t="shared" si="0"/>
        <v/>
      </c>
      <c r="AU4" s="43" t="str">
        <f t="shared" si="0"/>
        <v/>
      </c>
      <c r="AV4" s="43" t="str">
        <f t="shared" si="0"/>
        <v/>
      </c>
      <c r="AW4" s="43" t="str">
        <f t="shared" si="0"/>
        <v/>
      </c>
      <c r="AX4" s="43" t="str">
        <f t="shared" si="0"/>
        <v/>
      </c>
      <c r="AY4" s="43" t="str">
        <f t="shared" si="0"/>
        <v/>
      </c>
      <c r="AZ4" s="43" t="str">
        <f t="shared" si="0"/>
        <v/>
      </c>
      <c r="BA4" s="43" t="str">
        <f t="shared" si="0"/>
        <v/>
      </c>
      <c r="BB4" s="43" t="str">
        <f t="shared" si="0"/>
        <v/>
      </c>
      <c r="BC4" s="43" t="str">
        <f t="shared" si="0"/>
        <v/>
      </c>
    </row>
    <row r="5" spans="1:55">
      <c r="A5" s="40" t="s">
        <v>128</v>
      </c>
      <c r="B5" s="40" t="s">
        <v>129</v>
      </c>
      <c r="C5" s="42">
        <v>43849</v>
      </c>
      <c r="D5" s="43" t="str">
        <f t="shared" si="1"/>
        <v/>
      </c>
      <c r="E5" s="43" t="str">
        <f t="shared" si="0"/>
        <v/>
      </c>
      <c r="F5" s="43" t="str">
        <f t="shared" si="0"/>
        <v/>
      </c>
      <c r="G5" s="43" t="str">
        <f t="shared" si="0"/>
        <v>X</v>
      </c>
      <c r="H5" s="43" t="str">
        <f t="shared" si="0"/>
        <v/>
      </c>
      <c r="I5" s="43" t="str">
        <f t="shared" si="0"/>
        <v/>
      </c>
      <c r="J5" s="43" t="str">
        <f t="shared" si="0"/>
        <v/>
      </c>
      <c r="K5" s="43" t="str">
        <f t="shared" si="0"/>
        <v/>
      </c>
      <c r="L5" s="43" t="str">
        <f t="shared" si="0"/>
        <v/>
      </c>
      <c r="M5" s="43" t="str">
        <f t="shared" si="0"/>
        <v/>
      </c>
      <c r="N5" s="43" t="str">
        <f t="shared" si="0"/>
        <v/>
      </c>
      <c r="O5" s="43" t="str">
        <f t="shared" si="0"/>
        <v/>
      </c>
      <c r="P5" s="43" t="str">
        <f t="shared" si="0"/>
        <v/>
      </c>
      <c r="Q5" s="43" t="str">
        <f t="shared" si="0"/>
        <v/>
      </c>
      <c r="R5" s="43" t="str">
        <f t="shared" si="0"/>
        <v/>
      </c>
      <c r="S5" s="43" t="str">
        <f t="shared" si="0"/>
        <v/>
      </c>
      <c r="T5" s="43" t="str">
        <f t="shared" si="0"/>
        <v/>
      </c>
      <c r="U5" s="43" t="str">
        <f t="shared" si="0"/>
        <v/>
      </c>
      <c r="V5" s="43" t="str">
        <f t="shared" si="0"/>
        <v/>
      </c>
      <c r="W5" s="43" t="str">
        <f t="shared" si="0"/>
        <v/>
      </c>
      <c r="X5" s="43" t="str">
        <f t="shared" si="0"/>
        <v/>
      </c>
      <c r="Y5" s="43" t="str">
        <f t="shared" si="0"/>
        <v/>
      </c>
      <c r="Z5" s="43" t="str">
        <f t="shared" si="0"/>
        <v/>
      </c>
      <c r="AA5" s="43" t="str">
        <f t="shared" si="0"/>
        <v/>
      </c>
      <c r="AB5" s="43" t="str">
        <f t="shared" si="0"/>
        <v/>
      </c>
      <c r="AC5" s="43" t="str">
        <f t="shared" si="0"/>
        <v/>
      </c>
      <c r="AD5" s="43" t="str">
        <f t="shared" si="0"/>
        <v/>
      </c>
      <c r="AE5" s="43" t="str">
        <f t="shared" si="0"/>
        <v/>
      </c>
      <c r="AF5" s="43" t="str">
        <f t="shared" si="0"/>
        <v/>
      </c>
      <c r="AG5" s="43" t="str">
        <f t="shared" si="0"/>
        <v/>
      </c>
      <c r="AH5" s="43" t="str">
        <f t="shared" si="0"/>
        <v/>
      </c>
      <c r="AI5" s="43" t="str">
        <f t="shared" si="0"/>
        <v/>
      </c>
      <c r="AJ5" s="43" t="str">
        <f t="shared" si="0"/>
        <v/>
      </c>
      <c r="AK5" s="43" t="str">
        <f t="shared" si="0"/>
        <v/>
      </c>
      <c r="AL5" s="43" t="str">
        <f t="shared" si="0"/>
        <v/>
      </c>
      <c r="AM5" s="43" t="str">
        <f t="shared" si="0"/>
        <v/>
      </c>
      <c r="AN5" s="43" t="str">
        <f t="shared" si="0"/>
        <v/>
      </c>
      <c r="AO5" s="43" t="str">
        <f t="shared" si="0"/>
        <v/>
      </c>
      <c r="AP5" s="43" t="str">
        <f t="shared" si="0"/>
        <v/>
      </c>
      <c r="AQ5" s="43" t="str">
        <f t="shared" si="0"/>
        <v/>
      </c>
      <c r="AR5" s="43" t="str">
        <f t="shared" si="0"/>
        <v/>
      </c>
      <c r="AS5" s="43" t="str">
        <f t="shared" si="0"/>
        <v/>
      </c>
      <c r="AT5" s="43" t="str">
        <f t="shared" si="0"/>
        <v/>
      </c>
      <c r="AU5" s="43" t="str">
        <f t="shared" si="0"/>
        <v/>
      </c>
      <c r="AV5" s="43" t="str">
        <f t="shared" si="0"/>
        <v/>
      </c>
      <c r="AW5" s="43" t="str">
        <f t="shared" si="0"/>
        <v/>
      </c>
      <c r="AX5" s="43" t="str">
        <f t="shared" si="0"/>
        <v/>
      </c>
      <c r="AY5" s="43" t="str">
        <f t="shared" si="0"/>
        <v/>
      </c>
      <c r="AZ5" s="43" t="str">
        <f t="shared" si="0"/>
        <v/>
      </c>
      <c r="BA5" s="43" t="str">
        <f t="shared" si="0"/>
        <v/>
      </c>
      <c r="BB5" s="43" t="str">
        <f t="shared" si="0"/>
        <v/>
      </c>
      <c r="BC5" s="43" t="str">
        <f t="shared" si="0"/>
        <v/>
      </c>
    </row>
    <row r="6" spans="1:55">
      <c r="A6" s="40" t="s">
        <v>130</v>
      </c>
      <c r="B6" s="40" t="s">
        <v>131</v>
      </c>
      <c r="C6" s="42">
        <v>43878</v>
      </c>
      <c r="D6" s="43" t="str">
        <f t="shared" si="1"/>
        <v/>
      </c>
      <c r="E6" s="43" t="str">
        <f t="shared" si="0"/>
        <v/>
      </c>
      <c r="F6" s="43" t="str">
        <f t="shared" si="0"/>
        <v/>
      </c>
      <c r="G6" s="43" t="str">
        <f t="shared" si="0"/>
        <v/>
      </c>
      <c r="H6" s="43" t="str">
        <f t="shared" si="0"/>
        <v/>
      </c>
      <c r="I6" s="43" t="str">
        <f t="shared" si="0"/>
        <v/>
      </c>
      <c r="J6" s="43" t="str">
        <f t="shared" si="0"/>
        <v/>
      </c>
      <c r="K6" s="43" t="str">
        <f t="shared" si="0"/>
        <v>X</v>
      </c>
      <c r="L6" s="43" t="str">
        <f t="shared" si="0"/>
        <v/>
      </c>
      <c r="M6" s="43" t="str">
        <f t="shared" si="0"/>
        <v/>
      </c>
      <c r="N6" s="43" t="str">
        <f t="shared" si="0"/>
        <v/>
      </c>
      <c r="O6" s="43" t="str">
        <f t="shared" si="0"/>
        <v/>
      </c>
      <c r="P6" s="43" t="str">
        <f t="shared" si="0"/>
        <v/>
      </c>
      <c r="Q6" s="43" t="str">
        <f t="shared" si="0"/>
        <v/>
      </c>
      <c r="R6" s="43" t="str">
        <f t="shared" si="0"/>
        <v/>
      </c>
      <c r="S6" s="43" t="str">
        <f t="shared" si="0"/>
        <v/>
      </c>
      <c r="T6" s="43" t="str">
        <f t="shared" si="0"/>
        <v/>
      </c>
      <c r="U6" s="43" t="str">
        <f t="shared" si="0"/>
        <v/>
      </c>
      <c r="V6" s="43" t="str">
        <f t="shared" si="0"/>
        <v/>
      </c>
      <c r="W6" s="43" t="str">
        <f t="shared" si="0"/>
        <v/>
      </c>
      <c r="X6" s="43" t="str">
        <f t="shared" si="0"/>
        <v/>
      </c>
      <c r="Y6" s="43" t="str">
        <f t="shared" si="0"/>
        <v/>
      </c>
      <c r="Z6" s="43" t="str">
        <f t="shared" si="0"/>
        <v/>
      </c>
      <c r="AA6" s="43" t="str">
        <f t="shared" si="0"/>
        <v/>
      </c>
      <c r="AB6" s="43" t="str">
        <f t="shared" si="0"/>
        <v/>
      </c>
      <c r="AC6" s="43" t="str">
        <f t="shared" si="0"/>
        <v/>
      </c>
      <c r="AD6" s="43" t="str">
        <f t="shared" si="0"/>
        <v/>
      </c>
      <c r="AE6" s="43" t="str">
        <f t="shared" si="0"/>
        <v/>
      </c>
      <c r="AF6" s="43" t="str">
        <f t="shared" si="0"/>
        <v/>
      </c>
      <c r="AG6" s="43" t="str">
        <f t="shared" si="0"/>
        <v/>
      </c>
      <c r="AH6" s="43" t="str">
        <f t="shared" si="0"/>
        <v/>
      </c>
      <c r="AI6" s="43" t="str">
        <f t="shared" si="0"/>
        <v/>
      </c>
      <c r="AJ6" s="43" t="str">
        <f t="shared" si="0"/>
        <v/>
      </c>
      <c r="AK6" s="43" t="str">
        <f t="shared" si="0"/>
        <v/>
      </c>
      <c r="AL6" s="43" t="str">
        <f t="shared" si="0"/>
        <v/>
      </c>
      <c r="AM6" s="43" t="str">
        <f t="shared" si="0"/>
        <v/>
      </c>
      <c r="AN6" s="43" t="str">
        <f t="shared" si="0"/>
        <v/>
      </c>
      <c r="AO6" s="43" t="str">
        <f t="shared" si="0"/>
        <v/>
      </c>
      <c r="AP6" s="43" t="str">
        <f t="shared" si="0"/>
        <v/>
      </c>
      <c r="AQ6" s="43" t="str">
        <f t="shared" si="0"/>
        <v/>
      </c>
      <c r="AR6" s="43" t="str">
        <f t="shared" si="0"/>
        <v/>
      </c>
      <c r="AS6" s="43" t="str">
        <f t="shared" si="0"/>
        <v/>
      </c>
      <c r="AT6" s="43" t="str">
        <f t="shared" si="0"/>
        <v/>
      </c>
      <c r="AU6" s="43" t="str">
        <f t="shared" si="0"/>
        <v/>
      </c>
      <c r="AV6" s="43" t="str">
        <f t="shared" si="0"/>
        <v/>
      </c>
      <c r="AW6" s="43" t="str">
        <f t="shared" si="0"/>
        <v/>
      </c>
      <c r="AX6" s="43" t="str">
        <f t="shared" si="0"/>
        <v/>
      </c>
      <c r="AY6" s="43" t="str">
        <f t="shared" si="0"/>
        <v/>
      </c>
      <c r="AZ6" s="43" t="str">
        <f t="shared" si="0"/>
        <v/>
      </c>
      <c r="BA6" s="43" t="str">
        <f t="shared" si="0"/>
        <v/>
      </c>
      <c r="BB6" s="43" t="str">
        <f t="shared" si="0"/>
        <v/>
      </c>
      <c r="BC6" s="43" t="str">
        <f t="shared" si="0"/>
        <v/>
      </c>
    </row>
    <row r="7" spans="1:55">
      <c r="A7" s="40" t="s">
        <v>132</v>
      </c>
      <c r="B7" s="40" t="s">
        <v>133</v>
      </c>
      <c r="C7" s="42">
        <v>43967</v>
      </c>
      <c r="D7" s="43" t="str">
        <f t="shared" si="1"/>
        <v/>
      </c>
      <c r="E7" s="43" t="str">
        <f t="shared" si="0"/>
        <v/>
      </c>
      <c r="F7" s="43" t="str">
        <f t="shared" si="0"/>
        <v/>
      </c>
      <c r="G7" s="43" t="str">
        <f t="shared" si="0"/>
        <v/>
      </c>
      <c r="H7" s="43" t="str">
        <f t="shared" si="0"/>
        <v/>
      </c>
      <c r="I7" s="43" t="str">
        <f t="shared" si="0"/>
        <v/>
      </c>
      <c r="J7" s="43" t="str">
        <f t="shared" si="0"/>
        <v/>
      </c>
      <c r="K7" s="43" t="str">
        <f t="shared" si="0"/>
        <v/>
      </c>
      <c r="L7" s="43" t="str">
        <f t="shared" si="0"/>
        <v/>
      </c>
      <c r="M7" s="43" t="str">
        <f t="shared" si="0"/>
        <v/>
      </c>
      <c r="N7" s="43" t="str">
        <f t="shared" si="0"/>
        <v/>
      </c>
      <c r="O7" s="43" t="str">
        <f t="shared" si="0"/>
        <v/>
      </c>
      <c r="P7" s="43" t="str">
        <f t="shared" si="0"/>
        <v/>
      </c>
      <c r="Q7" s="43" t="str">
        <f t="shared" si="0"/>
        <v/>
      </c>
      <c r="R7" s="43" t="str">
        <f t="shared" si="0"/>
        <v/>
      </c>
      <c r="S7" s="43" t="str">
        <f t="shared" si="0"/>
        <v/>
      </c>
      <c r="T7" s="43" t="str">
        <f t="shared" si="0"/>
        <v/>
      </c>
      <c r="U7" s="43" t="str">
        <f t="shared" si="0"/>
        <v/>
      </c>
      <c r="V7" s="43" t="str">
        <f t="shared" si="0"/>
        <v/>
      </c>
      <c r="W7" s="43" t="str">
        <f t="shared" si="0"/>
        <v>X</v>
      </c>
      <c r="X7" s="43" t="str">
        <f t="shared" si="0"/>
        <v/>
      </c>
      <c r="Y7" s="43" t="str">
        <f t="shared" si="0"/>
        <v/>
      </c>
      <c r="Z7" s="43" t="str">
        <f t="shared" si="0"/>
        <v/>
      </c>
      <c r="AA7" s="43" t="str">
        <f t="shared" si="0"/>
        <v/>
      </c>
      <c r="AB7" s="43" t="str">
        <f t="shared" si="0"/>
        <v/>
      </c>
      <c r="AC7" s="43" t="str">
        <f t="shared" si="0"/>
        <v/>
      </c>
      <c r="AD7" s="43" t="str">
        <f t="shared" si="0"/>
        <v/>
      </c>
      <c r="AE7" s="43" t="str">
        <f t="shared" si="0"/>
        <v/>
      </c>
      <c r="AF7" s="43" t="str">
        <f t="shared" si="0"/>
        <v/>
      </c>
      <c r="AG7" s="43" t="str">
        <f t="shared" si="0"/>
        <v/>
      </c>
      <c r="AH7" s="43" t="str">
        <f t="shared" si="0"/>
        <v/>
      </c>
      <c r="AI7" s="43" t="str">
        <f t="shared" si="0"/>
        <v/>
      </c>
      <c r="AJ7" s="43" t="str">
        <f t="shared" si="0"/>
        <v/>
      </c>
      <c r="AK7" s="43" t="str">
        <f t="shared" si="0"/>
        <v/>
      </c>
      <c r="AL7" s="43" t="str">
        <f t="shared" si="0"/>
        <v/>
      </c>
      <c r="AM7" s="43" t="str">
        <f t="shared" si="0"/>
        <v/>
      </c>
      <c r="AN7" s="43" t="str">
        <f t="shared" si="0"/>
        <v/>
      </c>
      <c r="AO7" s="43" t="str">
        <f t="shared" si="0"/>
        <v/>
      </c>
      <c r="AP7" s="43" t="str">
        <f t="shared" si="0"/>
        <v/>
      </c>
      <c r="AQ7" s="43" t="str">
        <f t="shared" si="0"/>
        <v/>
      </c>
      <c r="AR7" s="43" t="str">
        <f t="shared" si="0"/>
        <v/>
      </c>
      <c r="AS7" s="43" t="str">
        <f t="shared" si="0"/>
        <v/>
      </c>
      <c r="AT7" s="43" t="str">
        <f t="shared" si="0"/>
        <v/>
      </c>
      <c r="AU7" s="43" t="str">
        <f t="shared" si="0"/>
        <v/>
      </c>
      <c r="AV7" s="43" t="str">
        <f t="shared" si="0"/>
        <v/>
      </c>
      <c r="AW7" s="43" t="str">
        <f t="shared" si="0"/>
        <v/>
      </c>
      <c r="AX7" s="43" t="str">
        <f t="shared" si="0"/>
        <v/>
      </c>
      <c r="AY7" s="43" t="str">
        <f t="shared" si="0"/>
        <v/>
      </c>
      <c r="AZ7" s="43" t="str">
        <f t="shared" si="0"/>
        <v/>
      </c>
      <c r="BA7" s="43" t="str">
        <f t="shared" si="0"/>
        <v/>
      </c>
      <c r="BB7" s="43" t="str">
        <f t="shared" si="0"/>
        <v/>
      </c>
      <c r="BC7" s="43" t="str">
        <f t="shared" si="0"/>
        <v/>
      </c>
    </row>
    <row r="8" spans="1:55">
      <c r="A8" s="40" t="s">
        <v>134</v>
      </c>
      <c r="B8" s="40" t="s">
        <v>135</v>
      </c>
      <c r="C8" s="42">
        <v>43967</v>
      </c>
      <c r="D8" s="43" t="str">
        <f t="shared" si="1"/>
        <v/>
      </c>
      <c r="E8" s="43" t="str">
        <f t="shared" si="1"/>
        <v/>
      </c>
      <c r="F8" s="43" t="str">
        <f t="shared" si="1"/>
        <v/>
      </c>
      <c r="G8" s="43" t="str">
        <f t="shared" si="1"/>
        <v/>
      </c>
      <c r="H8" s="43" t="str">
        <f t="shared" si="1"/>
        <v/>
      </c>
      <c r="I8" s="43" t="str">
        <f t="shared" si="1"/>
        <v/>
      </c>
      <c r="J8" s="43" t="str">
        <f t="shared" si="1"/>
        <v/>
      </c>
      <c r="K8" s="43" t="str">
        <f t="shared" si="1"/>
        <v/>
      </c>
      <c r="L8" s="43" t="str">
        <f t="shared" si="1"/>
        <v/>
      </c>
      <c r="M8" s="43" t="str">
        <f t="shared" si="1"/>
        <v/>
      </c>
      <c r="N8" s="43" t="str">
        <f t="shared" si="1"/>
        <v/>
      </c>
      <c r="O8" s="43" t="str">
        <f t="shared" si="1"/>
        <v/>
      </c>
      <c r="P8" s="43" t="str">
        <f t="shared" si="1"/>
        <v/>
      </c>
      <c r="Q8" s="43" t="str">
        <f t="shared" si="1"/>
        <v/>
      </c>
      <c r="R8" s="43" t="str">
        <f t="shared" si="1"/>
        <v/>
      </c>
      <c r="S8" s="43" t="str">
        <f t="shared" si="1"/>
        <v/>
      </c>
      <c r="T8" s="43" t="str">
        <f t="shared" ref="T8:AI25" si="2">IF(WEEKNUM($C8)=T$1,"X","")</f>
        <v/>
      </c>
      <c r="U8" s="43" t="str">
        <f t="shared" si="2"/>
        <v/>
      </c>
      <c r="V8" s="43" t="str">
        <f t="shared" si="2"/>
        <v/>
      </c>
      <c r="W8" s="43" t="str">
        <f t="shared" si="2"/>
        <v>X</v>
      </c>
      <c r="X8" s="43" t="str">
        <f t="shared" si="2"/>
        <v/>
      </c>
      <c r="Y8" s="43" t="str">
        <f t="shared" si="2"/>
        <v/>
      </c>
      <c r="Z8" s="43" t="str">
        <f t="shared" si="2"/>
        <v/>
      </c>
      <c r="AA8" s="43" t="str">
        <f t="shared" si="2"/>
        <v/>
      </c>
      <c r="AB8" s="43" t="str">
        <f t="shared" si="2"/>
        <v/>
      </c>
      <c r="AC8" s="43" t="str">
        <f t="shared" si="2"/>
        <v/>
      </c>
      <c r="AD8" s="43" t="str">
        <f t="shared" si="2"/>
        <v/>
      </c>
      <c r="AE8" s="43" t="str">
        <f t="shared" si="2"/>
        <v/>
      </c>
      <c r="AF8" s="43" t="str">
        <f t="shared" si="2"/>
        <v/>
      </c>
      <c r="AG8" s="43" t="str">
        <f t="shared" si="2"/>
        <v/>
      </c>
      <c r="AH8" s="43" t="str">
        <f t="shared" si="2"/>
        <v/>
      </c>
      <c r="AI8" s="43" t="str">
        <f t="shared" si="2"/>
        <v/>
      </c>
      <c r="AJ8" s="43" t="str">
        <f t="shared" ref="AJ8:AY23" si="3">IF(WEEKNUM($C8)=AJ$1,"X","")</f>
        <v/>
      </c>
      <c r="AK8" s="43" t="str">
        <f t="shared" si="3"/>
        <v/>
      </c>
      <c r="AL8" s="43" t="str">
        <f t="shared" si="3"/>
        <v/>
      </c>
      <c r="AM8" s="43" t="str">
        <f t="shared" si="3"/>
        <v/>
      </c>
      <c r="AN8" s="43" t="str">
        <f t="shared" si="3"/>
        <v/>
      </c>
      <c r="AO8" s="43" t="str">
        <f t="shared" si="3"/>
        <v/>
      </c>
      <c r="AP8" s="43" t="str">
        <f t="shared" si="3"/>
        <v/>
      </c>
      <c r="AQ8" s="43" t="str">
        <f t="shared" si="3"/>
        <v/>
      </c>
      <c r="AR8" s="43" t="str">
        <f t="shared" si="3"/>
        <v/>
      </c>
      <c r="AS8" s="43" t="str">
        <f t="shared" si="3"/>
        <v/>
      </c>
      <c r="AT8" s="43" t="str">
        <f t="shared" si="3"/>
        <v/>
      </c>
      <c r="AU8" s="43" t="str">
        <f t="shared" si="3"/>
        <v/>
      </c>
      <c r="AV8" s="43" t="str">
        <f t="shared" si="3"/>
        <v/>
      </c>
      <c r="AW8" s="43" t="str">
        <f t="shared" si="3"/>
        <v/>
      </c>
      <c r="AX8" s="43" t="str">
        <f t="shared" si="3"/>
        <v/>
      </c>
      <c r="AY8" s="43" t="str">
        <f t="shared" si="3"/>
        <v/>
      </c>
      <c r="AZ8" s="43" t="str">
        <f t="shared" ref="AZ8:BC22" si="4">IF(WEEKNUM($C8)=AZ$1,"X","")</f>
        <v/>
      </c>
      <c r="BA8" s="43" t="str">
        <f t="shared" si="4"/>
        <v/>
      </c>
      <c r="BB8" s="43" t="str">
        <f t="shared" si="4"/>
        <v/>
      </c>
      <c r="BC8" s="43" t="str">
        <f t="shared" si="4"/>
        <v/>
      </c>
    </row>
    <row r="9" spans="1:55">
      <c r="A9" s="40" t="s">
        <v>136</v>
      </c>
      <c r="B9" s="40" t="s">
        <v>137</v>
      </c>
      <c r="C9" s="42">
        <v>44027</v>
      </c>
      <c r="D9" s="43" t="str">
        <f t="shared" si="1"/>
        <v/>
      </c>
      <c r="E9" s="43" t="str">
        <f t="shared" si="1"/>
        <v/>
      </c>
      <c r="F9" s="43" t="str">
        <f t="shared" si="1"/>
        <v/>
      </c>
      <c r="G9" s="43" t="str">
        <f t="shared" si="1"/>
        <v/>
      </c>
      <c r="H9" s="43" t="str">
        <f t="shared" si="1"/>
        <v/>
      </c>
      <c r="I9" s="43" t="str">
        <f t="shared" si="1"/>
        <v/>
      </c>
      <c r="J9" s="43" t="str">
        <f t="shared" si="1"/>
        <v/>
      </c>
      <c r="K9" s="43" t="str">
        <f t="shared" si="1"/>
        <v/>
      </c>
      <c r="L9" s="43" t="str">
        <f t="shared" si="1"/>
        <v/>
      </c>
      <c r="M9" s="43" t="str">
        <f t="shared" si="1"/>
        <v/>
      </c>
      <c r="N9" s="43" t="str">
        <f t="shared" si="1"/>
        <v/>
      </c>
      <c r="O9" s="43" t="str">
        <f t="shared" si="1"/>
        <v/>
      </c>
      <c r="P9" s="43" t="str">
        <f t="shared" si="1"/>
        <v/>
      </c>
      <c r="Q9" s="43" t="str">
        <f t="shared" si="1"/>
        <v/>
      </c>
      <c r="R9" s="43" t="str">
        <f t="shared" si="1"/>
        <v/>
      </c>
      <c r="S9" s="43" t="str">
        <f t="shared" si="1"/>
        <v/>
      </c>
      <c r="T9" s="43" t="str">
        <f t="shared" si="2"/>
        <v/>
      </c>
      <c r="U9" s="43" t="str">
        <f t="shared" si="2"/>
        <v/>
      </c>
      <c r="V9" s="43" t="str">
        <f t="shared" si="2"/>
        <v/>
      </c>
      <c r="W9" s="43" t="str">
        <f t="shared" si="2"/>
        <v/>
      </c>
      <c r="X9" s="43" t="str">
        <f t="shared" si="2"/>
        <v/>
      </c>
      <c r="Y9" s="43" t="str">
        <f t="shared" si="2"/>
        <v/>
      </c>
      <c r="Z9" s="43" t="str">
        <f t="shared" si="2"/>
        <v/>
      </c>
      <c r="AA9" s="43" t="str">
        <f t="shared" si="2"/>
        <v/>
      </c>
      <c r="AB9" s="43" t="str">
        <f t="shared" si="2"/>
        <v/>
      </c>
      <c r="AC9" s="43" t="str">
        <f t="shared" si="2"/>
        <v/>
      </c>
      <c r="AD9" s="43" t="str">
        <f t="shared" si="2"/>
        <v/>
      </c>
      <c r="AE9" s="43" t="str">
        <f t="shared" si="2"/>
        <v/>
      </c>
      <c r="AF9" s="43" t="str">
        <f t="shared" si="2"/>
        <v>X</v>
      </c>
      <c r="AG9" s="43" t="str">
        <f t="shared" si="2"/>
        <v/>
      </c>
      <c r="AH9" s="43" t="str">
        <f t="shared" si="2"/>
        <v/>
      </c>
      <c r="AI9" s="43" t="str">
        <f t="shared" si="2"/>
        <v/>
      </c>
      <c r="AJ9" s="43" t="str">
        <f t="shared" si="3"/>
        <v/>
      </c>
      <c r="AK9" s="43" t="str">
        <f t="shared" si="3"/>
        <v/>
      </c>
      <c r="AL9" s="43" t="str">
        <f t="shared" si="3"/>
        <v/>
      </c>
      <c r="AM9" s="43" t="str">
        <f t="shared" si="3"/>
        <v/>
      </c>
      <c r="AN9" s="43" t="str">
        <f t="shared" si="3"/>
        <v/>
      </c>
      <c r="AO9" s="43" t="str">
        <f t="shared" si="3"/>
        <v/>
      </c>
      <c r="AP9" s="43" t="str">
        <f t="shared" si="3"/>
        <v/>
      </c>
      <c r="AQ9" s="43" t="str">
        <f t="shared" si="3"/>
        <v/>
      </c>
      <c r="AR9" s="43" t="str">
        <f t="shared" si="3"/>
        <v/>
      </c>
      <c r="AS9" s="43" t="str">
        <f t="shared" si="3"/>
        <v/>
      </c>
      <c r="AT9" s="43" t="str">
        <f t="shared" si="3"/>
        <v/>
      </c>
      <c r="AU9" s="43" t="str">
        <f t="shared" si="3"/>
        <v/>
      </c>
      <c r="AV9" s="43" t="str">
        <f t="shared" si="3"/>
        <v/>
      </c>
      <c r="AW9" s="43" t="str">
        <f t="shared" si="3"/>
        <v/>
      </c>
      <c r="AX9" s="43" t="str">
        <f t="shared" si="3"/>
        <v/>
      </c>
      <c r="AY9" s="43" t="str">
        <f t="shared" si="3"/>
        <v/>
      </c>
      <c r="AZ9" s="43" t="str">
        <f t="shared" si="4"/>
        <v/>
      </c>
      <c r="BA9" s="43" t="str">
        <f t="shared" si="4"/>
        <v/>
      </c>
      <c r="BB9" s="43" t="str">
        <f t="shared" si="4"/>
        <v/>
      </c>
      <c r="BC9" s="43" t="str">
        <f t="shared" si="4"/>
        <v/>
      </c>
    </row>
    <row r="10" spans="1:55">
      <c r="A10" s="40" t="s">
        <v>138</v>
      </c>
      <c r="B10" s="40" t="s">
        <v>139</v>
      </c>
      <c r="C10" s="42">
        <v>43846</v>
      </c>
      <c r="D10" s="43" t="str">
        <f t="shared" si="1"/>
        <v/>
      </c>
      <c r="E10" s="43" t="str">
        <f t="shared" si="1"/>
        <v/>
      </c>
      <c r="F10" s="43" t="str">
        <f t="shared" si="1"/>
        <v>X</v>
      </c>
      <c r="G10" s="43" t="str">
        <f t="shared" si="1"/>
        <v/>
      </c>
      <c r="H10" s="43" t="str">
        <f t="shared" si="1"/>
        <v/>
      </c>
      <c r="I10" s="43" t="str">
        <f t="shared" si="1"/>
        <v/>
      </c>
      <c r="J10" s="43" t="str">
        <f t="shared" si="1"/>
        <v/>
      </c>
      <c r="K10" s="43" t="str">
        <f t="shared" si="1"/>
        <v/>
      </c>
      <c r="L10" s="43" t="str">
        <f t="shared" si="1"/>
        <v/>
      </c>
      <c r="M10" s="43" t="str">
        <f t="shared" si="1"/>
        <v/>
      </c>
      <c r="N10" s="43" t="str">
        <f t="shared" si="1"/>
        <v/>
      </c>
      <c r="O10" s="43" t="str">
        <f t="shared" si="1"/>
        <v/>
      </c>
      <c r="P10" s="43" t="str">
        <f t="shared" si="1"/>
        <v/>
      </c>
      <c r="Q10" s="43" t="str">
        <f t="shared" si="1"/>
        <v/>
      </c>
      <c r="R10" s="43" t="str">
        <f t="shared" si="1"/>
        <v/>
      </c>
      <c r="S10" s="43" t="str">
        <f t="shared" si="1"/>
        <v/>
      </c>
      <c r="T10" s="43" t="str">
        <f t="shared" si="2"/>
        <v/>
      </c>
      <c r="U10" s="43" t="str">
        <f t="shared" si="2"/>
        <v/>
      </c>
      <c r="V10" s="43" t="str">
        <f t="shared" si="2"/>
        <v/>
      </c>
      <c r="W10" s="43" t="str">
        <f t="shared" si="2"/>
        <v/>
      </c>
      <c r="X10" s="43" t="str">
        <f t="shared" si="2"/>
        <v/>
      </c>
      <c r="Y10" s="43" t="str">
        <f t="shared" si="2"/>
        <v/>
      </c>
      <c r="Z10" s="43" t="str">
        <f t="shared" si="2"/>
        <v/>
      </c>
      <c r="AA10" s="43" t="str">
        <f t="shared" si="2"/>
        <v/>
      </c>
      <c r="AB10" s="43" t="str">
        <f t="shared" si="2"/>
        <v/>
      </c>
      <c r="AC10" s="43" t="str">
        <f t="shared" si="2"/>
        <v/>
      </c>
      <c r="AD10" s="43" t="str">
        <f t="shared" si="2"/>
        <v/>
      </c>
      <c r="AE10" s="43" t="str">
        <f t="shared" si="2"/>
        <v/>
      </c>
      <c r="AF10" s="43" t="str">
        <f t="shared" si="2"/>
        <v/>
      </c>
      <c r="AG10" s="43" t="str">
        <f t="shared" si="2"/>
        <v/>
      </c>
      <c r="AH10" s="43" t="str">
        <f t="shared" si="2"/>
        <v/>
      </c>
      <c r="AI10" s="43" t="str">
        <f t="shared" si="2"/>
        <v/>
      </c>
      <c r="AJ10" s="43" t="str">
        <f t="shared" si="3"/>
        <v/>
      </c>
      <c r="AK10" s="43" t="str">
        <f t="shared" si="3"/>
        <v/>
      </c>
      <c r="AL10" s="43" t="str">
        <f t="shared" si="3"/>
        <v/>
      </c>
      <c r="AM10" s="43" t="str">
        <f t="shared" si="3"/>
        <v/>
      </c>
      <c r="AN10" s="43" t="str">
        <f t="shared" si="3"/>
        <v/>
      </c>
      <c r="AO10" s="43" t="str">
        <f t="shared" si="3"/>
        <v/>
      </c>
      <c r="AP10" s="43" t="str">
        <f t="shared" si="3"/>
        <v/>
      </c>
      <c r="AQ10" s="43" t="str">
        <f t="shared" si="3"/>
        <v/>
      </c>
      <c r="AR10" s="43" t="str">
        <f t="shared" si="3"/>
        <v/>
      </c>
      <c r="AS10" s="43" t="str">
        <f t="shared" si="3"/>
        <v/>
      </c>
      <c r="AT10" s="43" t="str">
        <f t="shared" si="3"/>
        <v/>
      </c>
      <c r="AU10" s="43" t="str">
        <f t="shared" si="3"/>
        <v/>
      </c>
      <c r="AV10" s="43" t="str">
        <f t="shared" si="3"/>
        <v/>
      </c>
      <c r="AW10" s="43" t="str">
        <f t="shared" si="3"/>
        <v/>
      </c>
      <c r="AX10" s="43" t="str">
        <f t="shared" si="3"/>
        <v/>
      </c>
      <c r="AY10" s="43" t="str">
        <f t="shared" si="3"/>
        <v/>
      </c>
      <c r="AZ10" s="43" t="str">
        <f t="shared" si="4"/>
        <v/>
      </c>
      <c r="BA10" s="43" t="str">
        <f t="shared" si="4"/>
        <v/>
      </c>
      <c r="BB10" s="43" t="str">
        <f t="shared" si="4"/>
        <v/>
      </c>
      <c r="BC10" s="43" t="str">
        <f t="shared" si="4"/>
        <v/>
      </c>
    </row>
    <row r="11" spans="1:55">
      <c r="A11" s="40" t="s">
        <v>140</v>
      </c>
      <c r="B11" s="40" t="s">
        <v>141</v>
      </c>
      <c r="C11" s="42">
        <v>43849</v>
      </c>
      <c r="D11" s="43" t="str">
        <f t="shared" si="1"/>
        <v/>
      </c>
      <c r="E11" s="43" t="str">
        <f t="shared" si="1"/>
        <v/>
      </c>
      <c r="F11" s="43" t="str">
        <f t="shared" si="1"/>
        <v/>
      </c>
      <c r="G11" s="43" t="str">
        <f t="shared" si="1"/>
        <v>X</v>
      </c>
      <c r="H11" s="43" t="str">
        <f t="shared" si="1"/>
        <v/>
      </c>
      <c r="I11" s="43" t="str">
        <f t="shared" si="1"/>
        <v/>
      </c>
      <c r="J11" s="43" t="str">
        <f t="shared" si="1"/>
        <v/>
      </c>
      <c r="K11" s="43" t="str">
        <f t="shared" si="1"/>
        <v/>
      </c>
      <c r="L11" s="43" t="str">
        <f t="shared" si="1"/>
        <v/>
      </c>
      <c r="M11" s="43" t="str">
        <f t="shared" si="1"/>
        <v/>
      </c>
      <c r="N11" s="43" t="str">
        <f t="shared" si="1"/>
        <v/>
      </c>
      <c r="O11" s="43" t="str">
        <f t="shared" si="1"/>
        <v/>
      </c>
      <c r="P11" s="43" t="str">
        <f t="shared" si="1"/>
        <v/>
      </c>
      <c r="Q11" s="43" t="str">
        <f t="shared" si="1"/>
        <v/>
      </c>
      <c r="R11" s="43" t="str">
        <f t="shared" si="1"/>
        <v/>
      </c>
      <c r="S11" s="43" t="str">
        <f t="shared" si="1"/>
        <v/>
      </c>
      <c r="T11" s="43" t="str">
        <f t="shared" si="2"/>
        <v/>
      </c>
      <c r="U11" s="43" t="str">
        <f t="shared" si="2"/>
        <v/>
      </c>
      <c r="V11" s="43" t="str">
        <f t="shared" si="2"/>
        <v/>
      </c>
      <c r="W11" s="43" t="str">
        <f t="shared" si="2"/>
        <v/>
      </c>
      <c r="X11" s="43" t="str">
        <f t="shared" si="2"/>
        <v/>
      </c>
      <c r="Y11" s="43" t="str">
        <f t="shared" si="2"/>
        <v/>
      </c>
      <c r="Z11" s="43" t="str">
        <f t="shared" si="2"/>
        <v/>
      </c>
      <c r="AA11" s="43" t="str">
        <f t="shared" si="2"/>
        <v/>
      </c>
      <c r="AB11" s="43" t="str">
        <f t="shared" si="2"/>
        <v/>
      </c>
      <c r="AC11" s="43" t="str">
        <f t="shared" si="2"/>
        <v/>
      </c>
      <c r="AD11" s="43" t="str">
        <f t="shared" si="2"/>
        <v/>
      </c>
      <c r="AE11" s="43" t="str">
        <f t="shared" si="2"/>
        <v/>
      </c>
      <c r="AF11" s="43" t="str">
        <f t="shared" si="2"/>
        <v/>
      </c>
      <c r="AG11" s="43" t="str">
        <f t="shared" si="2"/>
        <v/>
      </c>
      <c r="AH11" s="43" t="str">
        <f t="shared" si="2"/>
        <v/>
      </c>
      <c r="AI11" s="43" t="str">
        <f t="shared" si="2"/>
        <v/>
      </c>
      <c r="AJ11" s="43" t="str">
        <f t="shared" si="3"/>
        <v/>
      </c>
      <c r="AK11" s="43" t="str">
        <f t="shared" si="3"/>
        <v/>
      </c>
      <c r="AL11" s="43" t="str">
        <f t="shared" si="3"/>
        <v/>
      </c>
      <c r="AM11" s="43" t="str">
        <f t="shared" si="3"/>
        <v/>
      </c>
      <c r="AN11" s="43" t="str">
        <f t="shared" si="3"/>
        <v/>
      </c>
      <c r="AO11" s="43" t="str">
        <f t="shared" si="3"/>
        <v/>
      </c>
      <c r="AP11" s="43" t="str">
        <f t="shared" si="3"/>
        <v/>
      </c>
      <c r="AQ11" s="43" t="str">
        <f t="shared" si="3"/>
        <v/>
      </c>
      <c r="AR11" s="43" t="str">
        <f t="shared" si="3"/>
        <v/>
      </c>
      <c r="AS11" s="43" t="str">
        <f t="shared" si="3"/>
        <v/>
      </c>
      <c r="AT11" s="43" t="str">
        <f t="shared" si="3"/>
        <v/>
      </c>
      <c r="AU11" s="43" t="str">
        <f t="shared" si="3"/>
        <v/>
      </c>
      <c r="AV11" s="43" t="str">
        <f t="shared" si="3"/>
        <v/>
      </c>
      <c r="AW11" s="43" t="str">
        <f t="shared" si="3"/>
        <v/>
      </c>
      <c r="AX11" s="43" t="str">
        <f t="shared" si="3"/>
        <v/>
      </c>
      <c r="AY11" s="43" t="str">
        <f t="shared" si="3"/>
        <v/>
      </c>
      <c r="AZ11" s="43" t="str">
        <f t="shared" si="4"/>
        <v/>
      </c>
      <c r="BA11" s="43" t="str">
        <f t="shared" si="4"/>
        <v/>
      </c>
      <c r="BB11" s="43" t="str">
        <f t="shared" si="4"/>
        <v/>
      </c>
      <c r="BC11" s="43" t="str">
        <f t="shared" si="4"/>
        <v/>
      </c>
    </row>
    <row r="12" spans="1:55">
      <c r="A12" s="40" t="s">
        <v>142</v>
      </c>
      <c r="B12" s="40" t="s">
        <v>143</v>
      </c>
      <c r="C12" s="42">
        <v>43901</v>
      </c>
      <c r="D12" s="43" t="str">
        <f t="shared" si="1"/>
        <v/>
      </c>
      <c r="E12" s="43" t="str">
        <f t="shared" si="1"/>
        <v/>
      </c>
      <c r="F12" s="43" t="str">
        <f t="shared" si="1"/>
        <v/>
      </c>
      <c r="G12" s="43" t="str">
        <f t="shared" si="1"/>
        <v/>
      </c>
      <c r="H12" s="43" t="str">
        <f t="shared" si="1"/>
        <v/>
      </c>
      <c r="I12" s="43" t="str">
        <f t="shared" si="1"/>
        <v/>
      </c>
      <c r="J12" s="43" t="str">
        <f t="shared" si="1"/>
        <v/>
      </c>
      <c r="K12" s="43" t="str">
        <f t="shared" si="1"/>
        <v/>
      </c>
      <c r="L12" s="43" t="str">
        <f t="shared" si="1"/>
        <v/>
      </c>
      <c r="M12" s="43" t="str">
        <f t="shared" si="1"/>
        <v/>
      </c>
      <c r="N12" s="43" t="str">
        <f t="shared" si="1"/>
        <v>X</v>
      </c>
      <c r="O12" s="43" t="str">
        <f t="shared" si="1"/>
        <v/>
      </c>
      <c r="P12" s="43" t="str">
        <f t="shared" si="1"/>
        <v/>
      </c>
      <c r="Q12" s="43" t="str">
        <f t="shared" si="1"/>
        <v/>
      </c>
      <c r="R12" s="43" t="str">
        <f t="shared" si="1"/>
        <v/>
      </c>
      <c r="S12" s="43" t="str">
        <f t="shared" si="1"/>
        <v/>
      </c>
      <c r="T12" s="43" t="str">
        <f t="shared" si="2"/>
        <v/>
      </c>
      <c r="U12" s="43" t="str">
        <f t="shared" si="2"/>
        <v/>
      </c>
      <c r="V12" s="43" t="str">
        <f t="shared" si="2"/>
        <v/>
      </c>
      <c r="W12" s="43" t="str">
        <f t="shared" si="2"/>
        <v/>
      </c>
      <c r="X12" s="43" t="str">
        <f t="shared" si="2"/>
        <v/>
      </c>
      <c r="Y12" s="43" t="str">
        <f t="shared" si="2"/>
        <v/>
      </c>
      <c r="Z12" s="43" t="str">
        <f t="shared" si="2"/>
        <v/>
      </c>
      <c r="AA12" s="43" t="str">
        <f t="shared" si="2"/>
        <v/>
      </c>
      <c r="AB12" s="43" t="str">
        <f t="shared" si="2"/>
        <v/>
      </c>
      <c r="AC12" s="43" t="str">
        <f t="shared" si="2"/>
        <v/>
      </c>
      <c r="AD12" s="43" t="str">
        <f t="shared" si="2"/>
        <v/>
      </c>
      <c r="AE12" s="43" t="str">
        <f t="shared" si="2"/>
        <v/>
      </c>
      <c r="AF12" s="43" t="str">
        <f t="shared" si="2"/>
        <v/>
      </c>
      <c r="AG12" s="43" t="str">
        <f t="shared" si="2"/>
        <v/>
      </c>
      <c r="AH12" s="43" t="str">
        <f t="shared" si="2"/>
        <v/>
      </c>
      <c r="AI12" s="43" t="str">
        <f t="shared" si="2"/>
        <v/>
      </c>
      <c r="AJ12" s="43" t="str">
        <f t="shared" si="3"/>
        <v/>
      </c>
      <c r="AK12" s="43" t="str">
        <f t="shared" si="3"/>
        <v/>
      </c>
      <c r="AL12" s="43" t="str">
        <f t="shared" si="3"/>
        <v/>
      </c>
      <c r="AM12" s="43" t="str">
        <f t="shared" si="3"/>
        <v/>
      </c>
      <c r="AN12" s="43" t="str">
        <f t="shared" si="3"/>
        <v/>
      </c>
      <c r="AO12" s="43" t="str">
        <f t="shared" si="3"/>
        <v/>
      </c>
      <c r="AP12" s="43" t="str">
        <f t="shared" si="3"/>
        <v/>
      </c>
      <c r="AQ12" s="43" t="str">
        <f t="shared" si="3"/>
        <v/>
      </c>
      <c r="AR12" s="43" t="str">
        <f t="shared" si="3"/>
        <v/>
      </c>
      <c r="AS12" s="43" t="str">
        <f t="shared" si="3"/>
        <v/>
      </c>
      <c r="AT12" s="43" t="str">
        <f t="shared" si="3"/>
        <v/>
      </c>
      <c r="AU12" s="43" t="str">
        <f t="shared" si="3"/>
        <v/>
      </c>
      <c r="AV12" s="43" t="str">
        <f t="shared" si="3"/>
        <v/>
      </c>
      <c r="AW12" s="43" t="str">
        <f t="shared" si="3"/>
        <v/>
      </c>
      <c r="AX12" s="43" t="str">
        <f t="shared" si="3"/>
        <v/>
      </c>
      <c r="AY12" s="43" t="str">
        <f t="shared" si="3"/>
        <v/>
      </c>
      <c r="AZ12" s="43" t="str">
        <f t="shared" si="4"/>
        <v/>
      </c>
      <c r="BA12" s="43" t="str">
        <f t="shared" si="4"/>
        <v/>
      </c>
      <c r="BB12" s="43" t="str">
        <f t="shared" si="4"/>
        <v/>
      </c>
      <c r="BC12" s="43" t="str">
        <f t="shared" si="4"/>
        <v/>
      </c>
    </row>
    <row r="13" spans="1:55">
      <c r="A13" s="40" t="s">
        <v>142</v>
      </c>
      <c r="B13" s="40" t="s">
        <v>144</v>
      </c>
      <c r="C13" s="42">
        <v>44014</v>
      </c>
      <c r="D13" s="43" t="str">
        <f t="shared" si="1"/>
        <v/>
      </c>
      <c r="E13" s="43" t="str">
        <f t="shared" si="1"/>
        <v/>
      </c>
      <c r="F13" s="43" t="str">
        <f t="shared" si="1"/>
        <v/>
      </c>
      <c r="G13" s="43" t="str">
        <f t="shared" si="1"/>
        <v/>
      </c>
      <c r="H13" s="43" t="str">
        <f t="shared" si="1"/>
        <v/>
      </c>
      <c r="I13" s="43" t="str">
        <f t="shared" si="1"/>
        <v/>
      </c>
      <c r="J13" s="43" t="str">
        <f t="shared" si="1"/>
        <v/>
      </c>
      <c r="K13" s="43" t="str">
        <f t="shared" si="1"/>
        <v/>
      </c>
      <c r="L13" s="43" t="str">
        <f t="shared" si="1"/>
        <v/>
      </c>
      <c r="M13" s="43" t="str">
        <f t="shared" si="1"/>
        <v/>
      </c>
      <c r="N13" s="43" t="str">
        <f t="shared" si="1"/>
        <v/>
      </c>
      <c r="O13" s="43" t="str">
        <f t="shared" si="1"/>
        <v/>
      </c>
      <c r="P13" s="43" t="str">
        <f t="shared" si="1"/>
        <v/>
      </c>
      <c r="Q13" s="43" t="str">
        <f t="shared" si="1"/>
        <v/>
      </c>
      <c r="R13" s="43" t="str">
        <f t="shared" si="1"/>
        <v/>
      </c>
      <c r="S13" s="43" t="str">
        <f t="shared" si="1"/>
        <v/>
      </c>
      <c r="T13" s="43" t="str">
        <f t="shared" si="2"/>
        <v/>
      </c>
      <c r="U13" s="43" t="str">
        <f t="shared" si="2"/>
        <v/>
      </c>
      <c r="V13" s="43" t="str">
        <f t="shared" si="2"/>
        <v/>
      </c>
      <c r="W13" s="43" t="str">
        <f t="shared" si="2"/>
        <v/>
      </c>
      <c r="X13" s="43" t="str">
        <f t="shared" si="2"/>
        <v/>
      </c>
      <c r="Y13" s="43" t="str">
        <f t="shared" si="2"/>
        <v/>
      </c>
      <c r="Z13" s="43" t="str">
        <f t="shared" si="2"/>
        <v/>
      </c>
      <c r="AA13" s="43" t="str">
        <f t="shared" si="2"/>
        <v/>
      </c>
      <c r="AB13" s="43" t="str">
        <f t="shared" si="2"/>
        <v/>
      </c>
      <c r="AC13" s="43" t="str">
        <f t="shared" si="2"/>
        <v/>
      </c>
      <c r="AD13" s="43" t="str">
        <f t="shared" si="2"/>
        <v>X</v>
      </c>
      <c r="AE13" s="43" t="str">
        <f t="shared" si="2"/>
        <v/>
      </c>
      <c r="AF13" s="43" t="str">
        <f t="shared" si="2"/>
        <v/>
      </c>
      <c r="AG13" s="43" t="str">
        <f t="shared" si="2"/>
        <v/>
      </c>
      <c r="AH13" s="43" t="str">
        <f t="shared" si="2"/>
        <v/>
      </c>
      <c r="AI13" s="43" t="str">
        <f t="shared" si="2"/>
        <v/>
      </c>
      <c r="AJ13" s="43" t="str">
        <f t="shared" si="3"/>
        <v/>
      </c>
      <c r="AK13" s="43" t="str">
        <f t="shared" si="3"/>
        <v/>
      </c>
      <c r="AL13" s="43" t="str">
        <f t="shared" si="3"/>
        <v/>
      </c>
      <c r="AM13" s="43" t="str">
        <f t="shared" si="3"/>
        <v/>
      </c>
      <c r="AN13" s="43" t="str">
        <f t="shared" si="3"/>
        <v/>
      </c>
      <c r="AO13" s="43" t="str">
        <f t="shared" si="3"/>
        <v/>
      </c>
      <c r="AP13" s="43" t="str">
        <f t="shared" si="3"/>
        <v/>
      </c>
      <c r="AQ13" s="43" t="str">
        <f t="shared" si="3"/>
        <v/>
      </c>
      <c r="AR13" s="43" t="str">
        <f t="shared" si="3"/>
        <v/>
      </c>
      <c r="AS13" s="43" t="str">
        <f t="shared" si="3"/>
        <v/>
      </c>
      <c r="AT13" s="43" t="str">
        <f t="shared" si="3"/>
        <v/>
      </c>
      <c r="AU13" s="43" t="str">
        <f t="shared" si="3"/>
        <v/>
      </c>
      <c r="AV13" s="43" t="str">
        <f t="shared" si="3"/>
        <v/>
      </c>
      <c r="AW13" s="43" t="str">
        <f t="shared" si="3"/>
        <v/>
      </c>
      <c r="AX13" s="43" t="str">
        <f t="shared" si="3"/>
        <v/>
      </c>
      <c r="AY13" s="43" t="str">
        <f t="shared" si="3"/>
        <v/>
      </c>
      <c r="AZ13" s="43" t="str">
        <f t="shared" si="4"/>
        <v/>
      </c>
      <c r="BA13" s="43" t="str">
        <f t="shared" si="4"/>
        <v/>
      </c>
      <c r="BB13" s="43" t="str">
        <f t="shared" si="4"/>
        <v/>
      </c>
      <c r="BC13" s="43" t="str">
        <f t="shared" si="4"/>
        <v/>
      </c>
    </row>
    <row r="14" spans="1:55">
      <c r="A14" s="40" t="s">
        <v>145</v>
      </c>
      <c r="B14" s="40" t="s">
        <v>146</v>
      </c>
      <c r="C14" s="42">
        <v>43892</v>
      </c>
      <c r="D14" s="43" t="str">
        <f t="shared" si="1"/>
        <v/>
      </c>
      <c r="E14" s="43" t="str">
        <f t="shared" si="1"/>
        <v/>
      </c>
      <c r="F14" s="43" t="str">
        <f t="shared" si="1"/>
        <v/>
      </c>
      <c r="G14" s="43" t="str">
        <f t="shared" si="1"/>
        <v/>
      </c>
      <c r="H14" s="43" t="str">
        <f t="shared" si="1"/>
        <v/>
      </c>
      <c r="I14" s="43" t="str">
        <f t="shared" si="1"/>
        <v/>
      </c>
      <c r="J14" s="43" t="str">
        <f t="shared" si="1"/>
        <v/>
      </c>
      <c r="K14" s="43" t="str">
        <f t="shared" si="1"/>
        <v/>
      </c>
      <c r="L14" s="43" t="str">
        <f t="shared" si="1"/>
        <v/>
      </c>
      <c r="M14" s="43" t="str">
        <f t="shared" si="1"/>
        <v>X</v>
      </c>
      <c r="N14" s="43" t="str">
        <f t="shared" si="1"/>
        <v/>
      </c>
      <c r="O14" s="43" t="str">
        <f t="shared" si="1"/>
        <v/>
      </c>
      <c r="P14" s="43" t="str">
        <f t="shared" si="1"/>
        <v/>
      </c>
      <c r="Q14" s="43" t="str">
        <f t="shared" si="1"/>
        <v/>
      </c>
      <c r="R14" s="43" t="str">
        <f t="shared" si="1"/>
        <v/>
      </c>
      <c r="S14" s="43" t="str">
        <f t="shared" si="1"/>
        <v/>
      </c>
      <c r="T14" s="43" t="str">
        <f t="shared" si="2"/>
        <v/>
      </c>
      <c r="U14" s="43" t="str">
        <f t="shared" si="2"/>
        <v/>
      </c>
      <c r="V14" s="43" t="str">
        <f t="shared" si="2"/>
        <v/>
      </c>
      <c r="W14" s="43" t="str">
        <f t="shared" si="2"/>
        <v/>
      </c>
      <c r="X14" s="43" t="str">
        <f t="shared" si="2"/>
        <v/>
      </c>
      <c r="Y14" s="43" t="str">
        <f t="shared" si="2"/>
        <v/>
      </c>
      <c r="Z14" s="43" t="str">
        <f t="shared" si="2"/>
        <v/>
      </c>
      <c r="AA14" s="43" t="str">
        <f t="shared" si="2"/>
        <v/>
      </c>
      <c r="AB14" s="43" t="str">
        <f t="shared" si="2"/>
        <v/>
      </c>
      <c r="AC14" s="43" t="str">
        <f t="shared" si="2"/>
        <v/>
      </c>
      <c r="AD14" s="43" t="str">
        <f t="shared" si="2"/>
        <v/>
      </c>
      <c r="AE14" s="43" t="str">
        <f t="shared" si="2"/>
        <v/>
      </c>
      <c r="AF14" s="43" t="str">
        <f t="shared" si="2"/>
        <v/>
      </c>
      <c r="AG14" s="43" t="str">
        <f t="shared" si="2"/>
        <v/>
      </c>
      <c r="AH14" s="43" t="str">
        <f t="shared" si="2"/>
        <v/>
      </c>
      <c r="AI14" s="43" t="str">
        <f t="shared" si="2"/>
        <v/>
      </c>
      <c r="AJ14" s="43" t="str">
        <f t="shared" si="3"/>
        <v/>
      </c>
      <c r="AK14" s="43" t="str">
        <f t="shared" si="3"/>
        <v/>
      </c>
      <c r="AL14" s="43" t="str">
        <f t="shared" si="3"/>
        <v/>
      </c>
      <c r="AM14" s="43" t="str">
        <f t="shared" si="3"/>
        <v/>
      </c>
      <c r="AN14" s="43" t="str">
        <f t="shared" si="3"/>
        <v/>
      </c>
      <c r="AO14" s="43" t="str">
        <f t="shared" si="3"/>
        <v/>
      </c>
      <c r="AP14" s="43" t="str">
        <f t="shared" si="3"/>
        <v/>
      </c>
      <c r="AQ14" s="43" t="str">
        <f t="shared" si="3"/>
        <v/>
      </c>
      <c r="AR14" s="43" t="str">
        <f t="shared" si="3"/>
        <v/>
      </c>
      <c r="AS14" s="43" t="str">
        <f t="shared" si="3"/>
        <v/>
      </c>
      <c r="AT14" s="43" t="str">
        <f t="shared" si="3"/>
        <v/>
      </c>
      <c r="AU14" s="43" t="str">
        <f t="shared" si="3"/>
        <v/>
      </c>
      <c r="AV14" s="43" t="str">
        <f t="shared" si="3"/>
        <v/>
      </c>
      <c r="AW14" s="43" t="str">
        <f t="shared" si="3"/>
        <v/>
      </c>
      <c r="AX14" s="43" t="str">
        <f t="shared" si="3"/>
        <v/>
      </c>
      <c r="AY14" s="43" t="str">
        <f t="shared" si="3"/>
        <v/>
      </c>
      <c r="AZ14" s="43" t="str">
        <f t="shared" si="4"/>
        <v/>
      </c>
      <c r="BA14" s="43" t="str">
        <f t="shared" si="4"/>
        <v/>
      </c>
      <c r="BB14" s="43" t="str">
        <f t="shared" si="4"/>
        <v/>
      </c>
      <c r="BC14" s="43" t="str">
        <f t="shared" si="4"/>
        <v/>
      </c>
    </row>
    <row r="15" spans="1:55">
      <c r="A15" s="40" t="s">
        <v>145</v>
      </c>
      <c r="B15" s="40" t="s">
        <v>147</v>
      </c>
      <c r="C15" s="42">
        <v>44151</v>
      </c>
      <c r="D15" s="43" t="str">
        <f t="shared" si="1"/>
        <v/>
      </c>
      <c r="E15" s="43" t="str">
        <f t="shared" si="1"/>
        <v/>
      </c>
      <c r="F15" s="43" t="str">
        <f t="shared" si="1"/>
        <v/>
      </c>
      <c r="G15" s="43" t="str">
        <f t="shared" si="1"/>
        <v/>
      </c>
      <c r="H15" s="43" t="str">
        <f t="shared" si="1"/>
        <v/>
      </c>
      <c r="I15" s="43" t="str">
        <f t="shared" si="1"/>
        <v/>
      </c>
      <c r="J15" s="43" t="str">
        <f t="shared" si="1"/>
        <v/>
      </c>
      <c r="K15" s="43" t="str">
        <f t="shared" si="1"/>
        <v/>
      </c>
      <c r="L15" s="43" t="str">
        <f t="shared" si="1"/>
        <v/>
      </c>
      <c r="M15" s="43" t="str">
        <f t="shared" si="1"/>
        <v/>
      </c>
      <c r="N15" s="43" t="str">
        <f t="shared" si="1"/>
        <v/>
      </c>
      <c r="O15" s="43" t="str">
        <f t="shared" si="1"/>
        <v/>
      </c>
      <c r="P15" s="43" t="str">
        <f t="shared" si="1"/>
        <v/>
      </c>
      <c r="Q15" s="43" t="str">
        <f t="shared" si="1"/>
        <v/>
      </c>
      <c r="R15" s="43" t="str">
        <f t="shared" si="1"/>
        <v/>
      </c>
      <c r="S15" s="43" t="str">
        <f t="shared" si="1"/>
        <v/>
      </c>
      <c r="T15" s="43" t="str">
        <f t="shared" si="2"/>
        <v/>
      </c>
      <c r="U15" s="43" t="str">
        <f t="shared" si="2"/>
        <v/>
      </c>
      <c r="V15" s="43" t="str">
        <f t="shared" si="2"/>
        <v/>
      </c>
      <c r="W15" s="43" t="str">
        <f t="shared" si="2"/>
        <v/>
      </c>
      <c r="X15" s="43" t="str">
        <f t="shared" si="2"/>
        <v/>
      </c>
      <c r="Y15" s="43" t="str">
        <f t="shared" si="2"/>
        <v/>
      </c>
      <c r="Z15" s="43" t="str">
        <f t="shared" si="2"/>
        <v/>
      </c>
      <c r="AA15" s="43" t="str">
        <f t="shared" si="2"/>
        <v/>
      </c>
      <c r="AB15" s="43" t="str">
        <f t="shared" si="2"/>
        <v/>
      </c>
      <c r="AC15" s="43" t="str">
        <f t="shared" si="2"/>
        <v/>
      </c>
      <c r="AD15" s="43" t="str">
        <f t="shared" si="2"/>
        <v/>
      </c>
      <c r="AE15" s="43" t="str">
        <f t="shared" si="2"/>
        <v/>
      </c>
      <c r="AF15" s="43" t="str">
        <f t="shared" si="2"/>
        <v/>
      </c>
      <c r="AG15" s="43" t="str">
        <f t="shared" si="2"/>
        <v/>
      </c>
      <c r="AH15" s="43" t="str">
        <f t="shared" si="2"/>
        <v/>
      </c>
      <c r="AI15" s="43" t="str">
        <f t="shared" si="2"/>
        <v/>
      </c>
      <c r="AJ15" s="43" t="str">
        <f t="shared" si="3"/>
        <v/>
      </c>
      <c r="AK15" s="43" t="str">
        <f t="shared" si="3"/>
        <v/>
      </c>
      <c r="AL15" s="43" t="str">
        <f t="shared" si="3"/>
        <v/>
      </c>
      <c r="AM15" s="43" t="str">
        <f t="shared" si="3"/>
        <v/>
      </c>
      <c r="AN15" s="43" t="str">
        <f t="shared" si="3"/>
        <v/>
      </c>
      <c r="AO15" s="43" t="str">
        <f t="shared" si="3"/>
        <v/>
      </c>
      <c r="AP15" s="43" t="str">
        <f t="shared" si="3"/>
        <v/>
      </c>
      <c r="AQ15" s="43" t="str">
        <f t="shared" si="3"/>
        <v/>
      </c>
      <c r="AR15" s="43" t="str">
        <f t="shared" si="3"/>
        <v/>
      </c>
      <c r="AS15" s="43" t="str">
        <f t="shared" si="3"/>
        <v/>
      </c>
      <c r="AT15" s="43" t="str">
        <f t="shared" si="3"/>
        <v/>
      </c>
      <c r="AU15" s="43" t="str">
        <f t="shared" si="3"/>
        <v/>
      </c>
      <c r="AV15" s="43" t="str">
        <f t="shared" si="3"/>
        <v/>
      </c>
      <c r="AW15" s="43" t="str">
        <f t="shared" si="3"/>
        <v/>
      </c>
      <c r="AX15" s="43" t="str">
        <f t="shared" si="3"/>
        <v>X</v>
      </c>
      <c r="AY15" s="43" t="str">
        <f t="shared" si="3"/>
        <v/>
      </c>
      <c r="AZ15" s="43" t="str">
        <f t="shared" si="4"/>
        <v/>
      </c>
      <c r="BA15" s="43" t="str">
        <f t="shared" si="4"/>
        <v/>
      </c>
      <c r="BB15" s="43" t="str">
        <f t="shared" si="4"/>
        <v/>
      </c>
      <c r="BC15" s="43" t="str">
        <f t="shared" si="4"/>
        <v/>
      </c>
    </row>
    <row r="16" spans="1:55">
      <c r="A16" s="40" t="s">
        <v>148</v>
      </c>
      <c r="B16" s="40" t="s">
        <v>149</v>
      </c>
      <c r="C16" s="42">
        <v>43954</v>
      </c>
      <c r="D16" s="43" t="str">
        <f t="shared" si="1"/>
        <v/>
      </c>
      <c r="E16" s="43" t="str">
        <f t="shared" si="1"/>
        <v/>
      </c>
      <c r="F16" s="43" t="str">
        <f t="shared" si="1"/>
        <v/>
      </c>
      <c r="G16" s="43" t="str">
        <f t="shared" si="1"/>
        <v/>
      </c>
      <c r="H16" s="43" t="str">
        <f t="shared" si="1"/>
        <v/>
      </c>
      <c r="I16" s="43" t="str">
        <f t="shared" si="1"/>
        <v/>
      </c>
      <c r="J16" s="43" t="str">
        <f t="shared" si="1"/>
        <v/>
      </c>
      <c r="K16" s="43" t="str">
        <f t="shared" si="1"/>
        <v/>
      </c>
      <c r="L16" s="43" t="str">
        <f t="shared" si="1"/>
        <v/>
      </c>
      <c r="M16" s="43" t="str">
        <f t="shared" si="1"/>
        <v/>
      </c>
      <c r="N16" s="43" t="str">
        <f t="shared" si="1"/>
        <v/>
      </c>
      <c r="O16" s="43" t="str">
        <f t="shared" si="1"/>
        <v/>
      </c>
      <c r="P16" s="43" t="str">
        <f t="shared" si="1"/>
        <v/>
      </c>
      <c r="Q16" s="43" t="str">
        <f t="shared" si="1"/>
        <v/>
      </c>
      <c r="R16" s="43" t="str">
        <f t="shared" si="1"/>
        <v/>
      </c>
      <c r="S16" s="43" t="str">
        <f t="shared" si="1"/>
        <v/>
      </c>
      <c r="T16" s="43" t="str">
        <f t="shared" si="2"/>
        <v/>
      </c>
      <c r="U16" s="43" t="str">
        <f t="shared" si="2"/>
        <v/>
      </c>
      <c r="V16" s="43" t="str">
        <f t="shared" si="2"/>
        <v>X</v>
      </c>
      <c r="W16" s="43" t="str">
        <f t="shared" si="2"/>
        <v/>
      </c>
      <c r="X16" s="43" t="str">
        <f t="shared" si="2"/>
        <v/>
      </c>
      <c r="Y16" s="43" t="str">
        <f t="shared" si="2"/>
        <v/>
      </c>
      <c r="Z16" s="43" t="str">
        <f t="shared" si="2"/>
        <v/>
      </c>
      <c r="AA16" s="43" t="str">
        <f t="shared" si="2"/>
        <v/>
      </c>
      <c r="AB16" s="43" t="str">
        <f t="shared" si="2"/>
        <v/>
      </c>
      <c r="AC16" s="43" t="str">
        <f t="shared" si="2"/>
        <v/>
      </c>
      <c r="AD16" s="43" t="str">
        <f t="shared" si="2"/>
        <v/>
      </c>
      <c r="AE16" s="43" t="str">
        <f t="shared" si="2"/>
        <v/>
      </c>
      <c r="AF16" s="43" t="str">
        <f t="shared" si="2"/>
        <v/>
      </c>
      <c r="AG16" s="43" t="str">
        <f t="shared" si="2"/>
        <v/>
      </c>
      <c r="AH16" s="43" t="str">
        <f t="shared" si="2"/>
        <v/>
      </c>
      <c r="AI16" s="43" t="str">
        <f t="shared" si="2"/>
        <v/>
      </c>
      <c r="AJ16" s="43" t="str">
        <f t="shared" si="3"/>
        <v/>
      </c>
      <c r="AK16" s="43" t="str">
        <f t="shared" si="3"/>
        <v/>
      </c>
      <c r="AL16" s="43" t="str">
        <f t="shared" si="3"/>
        <v/>
      </c>
      <c r="AM16" s="43" t="str">
        <f t="shared" si="3"/>
        <v/>
      </c>
      <c r="AN16" s="43" t="str">
        <f t="shared" si="3"/>
        <v/>
      </c>
      <c r="AO16" s="43" t="str">
        <f t="shared" si="3"/>
        <v/>
      </c>
      <c r="AP16" s="43" t="str">
        <f t="shared" si="3"/>
        <v/>
      </c>
      <c r="AQ16" s="43" t="str">
        <f t="shared" si="3"/>
        <v/>
      </c>
      <c r="AR16" s="43" t="str">
        <f t="shared" si="3"/>
        <v/>
      </c>
      <c r="AS16" s="43" t="str">
        <f t="shared" si="3"/>
        <v/>
      </c>
      <c r="AT16" s="43" t="str">
        <f t="shared" si="3"/>
        <v/>
      </c>
      <c r="AU16" s="43" t="str">
        <f t="shared" si="3"/>
        <v/>
      </c>
      <c r="AV16" s="43" t="str">
        <f t="shared" si="3"/>
        <v/>
      </c>
      <c r="AW16" s="43" t="str">
        <f t="shared" si="3"/>
        <v/>
      </c>
      <c r="AX16" s="43" t="str">
        <f t="shared" si="3"/>
        <v/>
      </c>
      <c r="AY16" s="43" t="str">
        <f t="shared" si="3"/>
        <v/>
      </c>
      <c r="AZ16" s="43" t="str">
        <f t="shared" si="4"/>
        <v/>
      </c>
      <c r="BA16" s="43" t="str">
        <f t="shared" si="4"/>
        <v/>
      </c>
      <c r="BB16" s="43" t="str">
        <f t="shared" si="4"/>
        <v/>
      </c>
      <c r="BC16" s="43" t="str">
        <f t="shared" si="4"/>
        <v/>
      </c>
    </row>
    <row r="17" spans="1:55">
      <c r="A17" s="40" t="s">
        <v>150</v>
      </c>
      <c r="B17" s="40" t="s">
        <v>151</v>
      </c>
      <c r="C17" s="42">
        <v>43865</v>
      </c>
      <c r="D17" s="43" t="str">
        <f t="shared" si="1"/>
        <v/>
      </c>
      <c r="E17" s="43" t="str">
        <f t="shared" si="1"/>
        <v/>
      </c>
      <c r="F17" s="43" t="str">
        <f t="shared" si="1"/>
        <v/>
      </c>
      <c r="G17" s="43" t="str">
        <f t="shared" si="1"/>
        <v/>
      </c>
      <c r="H17" s="43" t="str">
        <f t="shared" si="1"/>
        <v/>
      </c>
      <c r="I17" s="43" t="str">
        <f t="shared" si="1"/>
        <v>X</v>
      </c>
      <c r="J17" s="43" t="str">
        <f t="shared" si="1"/>
        <v/>
      </c>
      <c r="K17" s="43" t="str">
        <f t="shared" si="1"/>
        <v/>
      </c>
      <c r="L17" s="43" t="str">
        <f t="shared" si="1"/>
        <v/>
      </c>
      <c r="M17" s="43" t="str">
        <f t="shared" si="1"/>
        <v/>
      </c>
      <c r="N17" s="43" t="str">
        <f t="shared" si="1"/>
        <v/>
      </c>
      <c r="O17" s="43" t="str">
        <f t="shared" si="1"/>
        <v/>
      </c>
      <c r="P17" s="43" t="str">
        <f t="shared" si="1"/>
        <v/>
      </c>
      <c r="Q17" s="43" t="str">
        <f t="shared" si="1"/>
        <v/>
      </c>
      <c r="R17" s="43" t="str">
        <f t="shared" si="1"/>
        <v/>
      </c>
      <c r="S17" s="43" t="str">
        <f t="shared" si="1"/>
        <v/>
      </c>
      <c r="T17" s="43" t="str">
        <f t="shared" si="2"/>
        <v/>
      </c>
      <c r="U17" s="43" t="str">
        <f t="shared" si="2"/>
        <v/>
      </c>
      <c r="V17" s="43" t="str">
        <f t="shared" si="2"/>
        <v/>
      </c>
      <c r="W17" s="43" t="str">
        <f t="shared" si="2"/>
        <v/>
      </c>
      <c r="X17" s="43" t="str">
        <f t="shared" si="2"/>
        <v/>
      </c>
      <c r="Y17" s="43" t="str">
        <f t="shared" si="2"/>
        <v/>
      </c>
      <c r="Z17" s="43" t="str">
        <f t="shared" si="2"/>
        <v/>
      </c>
      <c r="AA17" s="43" t="str">
        <f t="shared" si="2"/>
        <v/>
      </c>
      <c r="AB17" s="43" t="str">
        <f t="shared" si="2"/>
        <v/>
      </c>
      <c r="AC17" s="43" t="str">
        <f t="shared" si="2"/>
        <v/>
      </c>
      <c r="AD17" s="43" t="str">
        <f t="shared" si="2"/>
        <v/>
      </c>
      <c r="AE17" s="43" t="str">
        <f t="shared" si="2"/>
        <v/>
      </c>
      <c r="AF17" s="43" t="str">
        <f t="shared" si="2"/>
        <v/>
      </c>
      <c r="AG17" s="43" t="str">
        <f t="shared" si="2"/>
        <v/>
      </c>
      <c r="AH17" s="43" t="str">
        <f t="shared" si="2"/>
        <v/>
      </c>
      <c r="AI17" s="43" t="str">
        <f t="shared" si="2"/>
        <v/>
      </c>
      <c r="AJ17" s="43" t="str">
        <f t="shared" si="3"/>
        <v/>
      </c>
      <c r="AK17" s="43" t="str">
        <f t="shared" si="3"/>
        <v/>
      </c>
      <c r="AL17" s="43" t="str">
        <f t="shared" si="3"/>
        <v/>
      </c>
      <c r="AM17" s="43" t="str">
        <f t="shared" si="3"/>
        <v/>
      </c>
      <c r="AN17" s="43" t="str">
        <f t="shared" si="3"/>
        <v/>
      </c>
      <c r="AO17" s="43" t="str">
        <f t="shared" si="3"/>
        <v/>
      </c>
      <c r="AP17" s="43" t="str">
        <f t="shared" si="3"/>
        <v/>
      </c>
      <c r="AQ17" s="43" t="str">
        <f t="shared" si="3"/>
        <v/>
      </c>
      <c r="AR17" s="43" t="str">
        <f t="shared" si="3"/>
        <v/>
      </c>
      <c r="AS17" s="43" t="str">
        <f t="shared" si="3"/>
        <v/>
      </c>
      <c r="AT17" s="43" t="str">
        <f t="shared" si="3"/>
        <v/>
      </c>
      <c r="AU17" s="43" t="str">
        <f t="shared" si="3"/>
        <v/>
      </c>
      <c r="AV17" s="43" t="str">
        <f t="shared" si="3"/>
        <v/>
      </c>
      <c r="AW17" s="43" t="str">
        <f t="shared" si="3"/>
        <v/>
      </c>
      <c r="AX17" s="43" t="str">
        <f t="shared" si="3"/>
        <v/>
      </c>
      <c r="AY17" s="43" t="str">
        <f t="shared" si="3"/>
        <v/>
      </c>
      <c r="AZ17" s="43" t="str">
        <f t="shared" si="4"/>
        <v/>
      </c>
      <c r="BA17" s="43" t="str">
        <f t="shared" si="4"/>
        <v/>
      </c>
      <c r="BB17" s="43" t="str">
        <f t="shared" si="4"/>
        <v/>
      </c>
      <c r="BC17" s="43" t="str">
        <f t="shared" si="4"/>
        <v/>
      </c>
    </row>
    <row r="18" spans="1:55">
      <c r="A18" s="40" t="s">
        <v>152</v>
      </c>
      <c r="B18" s="40" t="s">
        <v>153</v>
      </c>
      <c r="C18" s="42">
        <v>43881</v>
      </c>
      <c r="D18" s="43" t="str">
        <f t="shared" si="1"/>
        <v/>
      </c>
      <c r="E18" s="43" t="str">
        <f t="shared" si="1"/>
        <v/>
      </c>
      <c r="F18" s="43" t="str">
        <f t="shared" si="1"/>
        <v/>
      </c>
      <c r="G18" s="43" t="str">
        <f t="shared" si="1"/>
        <v/>
      </c>
      <c r="H18" s="43" t="str">
        <f t="shared" si="1"/>
        <v/>
      </c>
      <c r="I18" s="43" t="str">
        <f t="shared" si="1"/>
        <v/>
      </c>
      <c r="J18" s="43" t="str">
        <f t="shared" si="1"/>
        <v/>
      </c>
      <c r="K18" s="43" t="str">
        <f t="shared" si="1"/>
        <v>X</v>
      </c>
      <c r="L18" s="43" t="str">
        <f t="shared" si="1"/>
        <v/>
      </c>
      <c r="M18" s="43" t="str">
        <f t="shared" si="1"/>
        <v/>
      </c>
      <c r="N18" s="43" t="str">
        <f t="shared" si="1"/>
        <v/>
      </c>
      <c r="O18" s="43" t="str">
        <f t="shared" si="1"/>
        <v/>
      </c>
      <c r="P18" s="43" t="str">
        <f t="shared" si="1"/>
        <v/>
      </c>
      <c r="Q18" s="43" t="str">
        <f t="shared" si="1"/>
        <v/>
      </c>
      <c r="R18" s="43" t="str">
        <f t="shared" si="1"/>
        <v/>
      </c>
      <c r="S18" s="43" t="str">
        <f t="shared" si="1"/>
        <v/>
      </c>
      <c r="T18" s="43" t="str">
        <f t="shared" si="2"/>
        <v/>
      </c>
      <c r="U18" s="43" t="str">
        <f t="shared" si="2"/>
        <v/>
      </c>
      <c r="V18" s="43" t="str">
        <f t="shared" si="2"/>
        <v/>
      </c>
      <c r="W18" s="43" t="str">
        <f t="shared" si="2"/>
        <v/>
      </c>
      <c r="X18" s="43" t="str">
        <f t="shared" si="2"/>
        <v/>
      </c>
      <c r="Y18" s="43" t="str">
        <f t="shared" si="2"/>
        <v/>
      </c>
      <c r="Z18" s="43" t="str">
        <f t="shared" si="2"/>
        <v/>
      </c>
      <c r="AA18" s="43" t="str">
        <f t="shared" si="2"/>
        <v/>
      </c>
      <c r="AB18" s="43" t="str">
        <f t="shared" si="2"/>
        <v/>
      </c>
      <c r="AC18" s="43" t="str">
        <f t="shared" si="2"/>
        <v/>
      </c>
      <c r="AD18" s="43" t="str">
        <f t="shared" si="2"/>
        <v/>
      </c>
      <c r="AE18" s="43" t="str">
        <f t="shared" si="2"/>
        <v/>
      </c>
      <c r="AF18" s="43" t="str">
        <f t="shared" si="2"/>
        <v/>
      </c>
      <c r="AG18" s="43" t="str">
        <f t="shared" si="2"/>
        <v/>
      </c>
      <c r="AH18" s="43" t="str">
        <f t="shared" si="2"/>
        <v/>
      </c>
      <c r="AI18" s="43" t="str">
        <f t="shared" si="2"/>
        <v/>
      </c>
      <c r="AJ18" s="43" t="str">
        <f t="shared" si="3"/>
        <v/>
      </c>
      <c r="AK18" s="43" t="str">
        <f t="shared" si="3"/>
        <v/>
      </c>
      <c r="AL18" s="43" t="str">
        <f t="shared" si="3"/>
        <v/>
      </c>
      <c r="AM18" s="43" t="str">
        <f t="shared" si="3"/>
        <v/>
      </c>
      <c r="AN18" s="43" t="str">
        <f t="shared" si="3"/>
        <v/>
      </c>
      <c r="AO18" s="43" t="str">
        <f t="shared" si="3"/>
        <v/>
      </c>
      <c r="AP18" s="43" t="str">
        <f t="shared" si="3"/>
        <v/>
      </c>
      <c r="AQ18" s="43" t="str">
        <f t="shared" si="3"/>
        <v/>
      </c>
      <c r="AR18" s="43" t="str">
        <f t="shared" si="3"/>
        <v/>
      </c>
      <c r="AS18" s="43" t="str">
        <f t="shared" si="3"/>
        <v/>
      </c>
      <c r="AT18" s="43" t="str">
        <f t="shared" si="3"/>
        <v/>
      </c>
      <c r="AU18" s="43" t="str">
        <f t="shared" si="3"/>
        <v/>
      </c>
      <c r="AV18" s="43" t="str">
        <f t="shared" si="3"/>
        <v/>
      </c>
      <c r="AW18" s="43" t="str">
        <f t="shared" si="3"/>
        <v/>
      </c>
      <c r="AX18" s="43" t="str">
        <f t="shared" si="3"/>
        <v/>
      </c>
      <c r="AY18" s="43" t="str">
        <f t="shared" si="3"/>
        <v/>
      </c>
      <c r="AZ18" s="43" t="str">
        <f t="shared" si="4"/>
        <v/>
      </c>
      <c r="BA18" s="43" t="str">
        <f t="shared" si="4"/>
        <v/>
      </c>
      <c r="BB18" s="43" t="str">
        <f t="shared" si="4"/>
        <v/>
      </c>
      <c r="BC18" s="43" t="str">
        <f t="shared" si="4"/>
        <v/>
      </c>
    </row>
    <row r="19" spans="1:55">
      <c r="A19" s="40" t="s">
        <v>154</v>
      </c>
      <c r="B19" s="40" t="s">
        <v>155</v>
      </c>
      <c r="C19" s="42">
        <v>43982</v>
      </c>
      <c r="D19" s="43" t="str">
        <f t="shared" si="1"/>
        <v/>
      </c>
      <c r="E19" s="43" t="str">
        <f t="shared" si="1"/>
        <v/>
      </c>
      <c r="F19" s="43" t="str">
        <f t="shared" si="1"/>
        <v/>
      </c>
      <c r="G19" s="43" t="str">
        <f t="shared" si="1"/>
        <v/>
      </c>
      <c r="H19" s="43" t="str">
        <f t="shared" si="1"/>
        <v/>
      </c>
      <c r="I19" s="43" t="str">
        <f t="shared" si="1"/>
        <v/>
      </c>
      <c r="J19" s="43" t="str">
        <f t="shared" si="1"/>
        <v/>
      </c>
      <c r="K19" s="43" t="str">
        <f t="shared" si="1"/>
        <v/>
      </c>
      <c r="L19" s="43" t="str">
        <f t="shared" si="1"/>
        <v/>
      </c>
      <c r="M19" s="43" t="str">
        <f t="shared" si="1"/>
        <v/>
      </c>
      <c r="N19" s="43" t="str">
        <f t="shared" si="1"/>
        <v/>
      </c>
      <c r="O19" s="43" t="str">
        <f t="shared" si="1"/>
        <v/>
      </c>
      <c r="P19" s="43" t="str">
        <f t="shared" si="1"/>
        <v/>
      </c>
      <c r="Q19" s="43" t="str">
        <f t="shared" si="1"/>
        <v/>
      </c>
      <c r="R19" s="43" t="str">
        <f t="shared" si="1"/>
        <v/>
      </c>
      <c r="S19" s="43" t="str">
        <f t="shared" si="1"/>
        <v/>
      </c>
      <c r="T19" s="43" t="str">
        <f t="shared" si="2"/>
        <v/>
      </c>
      <c r="U19" s="43" t="str">
        <f t="shared" si="2"/>
        <v/>
      </c>
      <c r="V19" s="43" t="str">
        <f t="shared" si="2"/>
        <v/>
      </c>
      <c r="W19" s="43" t="str">
        <f t="shared" si="2"/>
        <v/>
      </c>
      <c r="X19" s="43" t="str">
        <f t="shared" si="2"/>
        <v/>
      </c>
      <c r="Y19" s="43" t="str">
        <f t="shared" si="2"/>
        <v/>
      </c>
      <c r="Z19" s="43" t="str">
        <f t="shared" si="2"/>
        <v>X</v>
      </c>
      <c r="AA19" s="43" t="str">
        <f t="shared" si="2"/>
        <v/>
      </c>
      <c r="AB19" s="43" t="str">
        <f t="shared" si="2"/>
        <v/>
      </c>
      <c r="AC19" s="43" t="str">
        <f t="shared" si="2"/>
        <v/>
      </c>
      <c r="AD19" s="43" t="str">
        <f t="shared" si="2"/>
        <v/>
      </c>
      <c r="AE19" s="43" t="str">
        <f t="shared" si="2"/>
        <v/>
      </c>
      <c r="AF19" s="43" t="str">
        <f t="shared" si="2"/>
        <v/>
      </c>
      <c r="AG19" s="43" t="str">
        <f t="shared" si="2"/>
        <v/>
      </c>
      <c r="AH19" s="43" t="str">
        <f t="shared" si="2"/>
        <v/>
      </c>
      <c r="AI19" s="43" t="str">
        <f t="shared" si="2"/>
        <v/>
      </c>
      <c r="AJ19" s="43" t="str">
        <f t="shared" si="3"/>
        <v/>
      </c>
      <c r="AK19" s="43" t="str">
        <f t="shared" si="3"/>
        <v/>
      </c>
      <c r="AL19" s="43" t="str">
        <f t="shared" si="3"/>
        <v/>
      </c>
      <c r="AM19" s="43" t="str">
        <f t="shared" si="3"/>
        <v/>
      </c>
      <c r="AN19" s="43" t="str">
        <f t="shared" si="3"/>
        <v/>
      </c>
      <c r="AO19" s="43" t="str">
        <f t="shared" si="3"/>
        <v/>
      </c>
      <c r="AP19" s="43" t="str">
        <f t="shared" si="3"/>
        <v/>
      </c>
      <c r="AQ19" s="43" t="str">
        <f t="shared" si="3"/>
        <v/>
      </c>
      <c r="AR19" s="43" t="str">
        <f t="shared" si="3"/>
        <v/>
      </c>
      <c r="AS19" s="43" t="str">
        <f t="shared" si="3"/>
        <v/>
      </c>
      <c r="AT19" s="43" t="str">
        <f t="shared" si="3"/>
        <v/>
      </c>
      <c r="AU19" s="43" t="str">
        <f t="shared" si="3"/>
        <v/>
      </c>
      <c r="AV19" s="43" t="str">
        <f t="shared" si="3"/>
        <v/>
      </c>
      <c r="AW19" s="43" t="str">
        <f t="shared" si="3"/>
        <v/>
      </c>
      <c r="AX19" s="43" t="str">
        <f t="shared" si="3"/>
        <v/>
      </c>
      <c r="AY19" s="43" t="str">
        <f t="shared" si="3"/>
        <v/>
      </c>
      <c r="AZ19" s="43" t="str">
        <f t="shared" si="4"/>
        <v/>
      </c>
      <c r="BA19" s="43" t="str">
        <f t="shared" si="4"/>
        <v/>
      </c>
      <c r="BB19" s="43" t="str">
        <f t="shared" si="4"/>
        <v/>
      </c>
      <c r="BC19" s="43" t="str">
        <f t="shared" si="4"/>
        <v/>
      </c>
    </row>
    <row r="20" spans="1:55">
      <c r="A20" s="40" t="s">
        <v>156</v>
      </c>
      <c r="B20" s="40" t="s">
        <v>157</v>
      </c>
      <c r="C20" s="42">
        <v>43954</v>
      </c>
      <c r="D20" s="43" t="str">
        <f t="shared" si="1"/>
        <v/>
      </c>
      <c r="E20" s="43" t="str">
        <f t="shared" si="1"/>
        <v/>
      </c>
      <c r="F20" s="43" t="str">
        <f t="shared" si="1"/>
        <v/>
      </c>
      <c r="G20" s="43" t="str">
        <f t="shared" si="1"/>
        <v/>
      </c>
      <c r="H20" s="43" t="str">
        <f t="shared" si="1"/>
        <v/>
      </c>
      <c r="I20" s="43" t="str">
        <f t="shared" si="1"/>
        <v/>
      </c>
      <c r="J20" s="43" t="str">
        <f t="shared" si="1"/>
        <v/>
      </c>
      <c r="K20" s="43" t="str">
        <f t="shared" si="1"/>
        <v/>
      </c>
      <c r="L20" s="43" t="str">
        <f t="shared" si="1"/>
        <v/>
      </c>
      <c r="M20" s="43" t="str">
        <f t="shared" si="1"/>
        <v/>
      </c>
      <c r="N20" s="43" t="str">
        <f t="shared" si="1"/>
        <v/>
      </c>
      <c r="O20" s="43" t="str">
        <f t="shared" si="1"/>
        <v/>
      </c>
      <c r="P20" s="43" t="str">
        <f t="shared" si="1"/>
        <v/>
      </c>
      <c r="Q20" s="43" t="str">
        <f t="shared" si="1"/>
        <v/>
      </c>
      <c r="R20" s="43" t="str">
        <f t="shared" si="1"/>
        <v/>
      </c>
      <c r="S20" s="43" t="str">
        <f t="shared" si="1"/>
        <v/>
      </c>
      <c r="T20" s="43" t="str">
        <f t="shared" si="2"/>
        <v/>
      </c>
      <c r="U20" s="43" t="str">
        <f t="shared" si="2"/>
        <v/>
      </c>
      <c r="V20" s="43" t="str">
        <f t="shared" si="2"/>
        <v>X</v>
      </c>
      <c r="W20" s="43" t="str">
        <f t="shared" si="2"/>
        <v/>
      </c>
      <c r="X20" s="43" t="str">
        <f t="shared" si="2"/>
        <v/>
      </c>
      <c r="Y20" s="43" t="str">
        <f t="shared" si="2"/>
        <v/>
      </c>
      <c r="Z20" s="43" t="str">
        <f t="shared" si="2"/>
        <v/>
      </c>
      <c r="AA20" s="43" t="str">
        <f t="shared" si="2"/>
        <v/>
      </c>
      <c r="AB20" s="43" t="str">
        <f t="shared" si="2"/>
        <v/>
      </c>
      <c r="AC20" s="43" t="str">
        <f t="shared" si="2"/>
        <v/>
      </c>
      <c r="AD20" s="43" t="str">
        <f t="shared" si="2"/>
        <v/>
      </c>
      <c r="AE20" s="43" t="str">
        <f t="shared" si="2"/>
        <v/>
      </c>
      <c r="AF20" s="43" t="str">
        <f t="shared" si="2"/>
        <v/>
      </c>
      <c r="AG20" s="43" t="str">
        <f t="shared" si="2"/>
        <v/>
      </c>
      <c r="AH20" s="43" t="str">
        <f t="shared" si="2"/>
        <v/>
      </c>
      <c r="AI20" s="43" t="str">
        <f t="shared" si="2"/>
        <v/>
      </c>
      <c r="AJ20" s="43" t="str">
        <f t="shared" si="3"/>
        <v/>
      </c>
      <c r="AK20" s="43" t="str">
        <f t="shared" si="3"/>
        <v/>
      </c>
      <c r="AL20" s="43" t="str">
        <f t="shared" si="3"/>
        <v/>
      </c>
      <c r="AM20" s="43" t="str">
        <f t="shared" si="3"/>
        <v/>
      </c>
      <c r="AN20" s="43" t="str">
        <f t="shared" si="3"/>
        <v/>
      </c>
      <c r="AO20" s="43" t="str">
        <f t="shared" si="3"/>
        <v/>
      </c>
      <c r="AP20" s="43" t="str">
        <f t="shared" si="3"/>
        <v/>
      </c>
      <c r="AQ20" s="43" t="str">
        <f t="shared" si="3"/>
        <v/>
      </c>
      <c r="AR20" s="43" t="str">
        <f t="shared" si="3"/>
        <v/>
      </c>
      <c r="AS20" s="43" t="str">
        <f t="shared" si="3"/>
        <v/>
      </c>
      <c r="AT20" s="43" t="str">
        <f t="shared" si="3"/>
        <v/>
      </c>
      <c r="AU20" s="43" t="str">
        <f t="shared" si="3"/>
        <v/>
      </c>
      <c r="AV20" s="43" t="str">
        <f t="shared" si="3"/>
        <v/>
      </c>
      <c r="AW20" s="43" t="str">
        <f t="shared" si="3"/>
        <v/>
      </c>
      <c r="AX20" s="43" t="str">
        <f t="shared" si="3"/>
        <v/>
      </c>
      <c r="AY20" s="43" t="str">
        <f t="shared" si="3"/>
        <v/>
      </c>
      <c r="AZ20" s="43" t="str">
        <f t="shared" si="4"/>
        <v/>
      </c>
      <c r="BA20" s="43" t="str">
        <f t="shared" si="4"/>
        <v/>
      </c>
      <c r="BB20" s="43" t="str">
        <f t="shared" si="4"/>
        <v/>
      </c>
      <c r="BC20" s="43" t="str">
        <f t="shared" si="4"/>
        <v/>
      </c>
    </row>
    <row r="21" spans="1:55">
      <c r="A21" s="40" t="s">
        <v>158</v>
      </c>
      <c r="B21" s="40" t="s">
        <v>159</v>
      </c>
      <c r="C21" s="42">
        <v>43926</v>
      </c>
      <c r="D21" s="43" t="str">
        <f t="shared" si="1"/>
        <v/>
      </c>
      <c r="E21" s="43" t="str">
        <f t="shared" si="1"/>
        <v/>
      </c>
      <c r="F21" s="43" t="str">
        <f t="shared" si="1"/>
        <v/>
      </c>
      <c r="G21" s="43" t="str">
        <f t="shared" si="1"/>
        <v/>
      </c>
      <c r="H21" s="43" t="str">
        <f t="shared" si="1"/>
        <v/>
      </c>
      <c r="I21" s="43" t="str">
        <f t="shared" si="1"/>
        <v/>
      </c>
      <c r="J21" s="43" t="str">
        <f t="shared" si="1"/>
        <v/>
      </c>
      <c r="K21" s="43" t="str">
        <f t="shared" si="1"/>
        <v/>
      </c>
      <c r="L21" s="43" t="str">
        <f t="shared" si="1"/>
        <v/>
      </c>
      <c r="M21" s="43" t="str">
        <f t="shared" si="1"/>
        <v/>
      </c>
      <c r="N21" s="43" t="str">
        <f t="shared" si="1"/>
        <v/>
      </c>
      <c r="O21" s="43" t="str">
        <f t="shared" si="1"/>
        <v/>
      </c>
      <c r="P21" s="43" t="str">
        <f t="shared" si="1"/>
        <v/>
      </c>
      <c r="Q21" s="43" t="str">
        <f t="shared" si="1"/>
        <v/>
      </c>
      <c r="R21" s="43" t="str">
        <f t="shared" si="1"/>
        <v>X</v>
      </c>
      <c r="S21" s="43" t="str">
        <f t="shared" si="1"/>
        <v/>
      </c>
      <c r="T21" s="43" t="str">
        <f t="shared" si="2"/>
        <v/>
      </c>
      <c r="U21" s="43" t="str">
        <f t="shared" si="2"/>
        <v/>
      </c>
      <c r="V21" s="43" t="str">
        <f t="shared" si="2"/>
        <v/>
      </c>
      <c r="W21" s="43" t="str">
        <f t="shared" si="2"/>
        <v/>
      </c>
      <c r="X21" s="43" t="str">
        <f t="shared" si="2"/>
        <v/>
      </c>
      <c r="Y21" s="43" t="str">
        <f t="shared" si="2"/>
        <v/>
      </c>
      <c r="Z21" s="43" t="str">
        <f t="shared" si="2"/>
        <v/>
      </c>
      <c r="AA21" s="43" t="str">
        <f t="shared" si="2"/>
        <v/>
      </c>
      <c r="AB21" s="43" t="str">
        <f t="shared" si="2"/>
        <v/>
      </c>
      <c r="AC21" s="43" t="str">
        <f t="shared" si="2"/>
        <v/>
      </c>
      <c r="AD21" s="43" t="str">
        <f t="shared" si="2"/>
        <v/>
      </c>
      <c r="AE21" s="43" t="str">
        <f t="shared" si="2"/>
        <v/>
      </c>
      <c r="AF21" s="43" t="str">
        <f t="shared" si="2"/>
        <v/>
      </c>
      <c r="AG21" s="43" t="str">
        <f t="shared" si="2"/>
        <v/>
      </c>
      <c r="AH21" s="43" t="str">
        <f t="shared" si="2"/>
        <v/>
      </c>
      <c r="AI21" s="43" t="str">
        <f t="shared" si="2"/>
        <v/>
      </c>
      <c r="AJ21" s="43" t="str">
        <f t="shared" si="3"/>
        <v/>
      </c>
      <c r="AK21" s="43" t="str">
        <f t="shared" si="3"/>
        <v/>
      </c>
      <c r="AL21" s="43" t="str">
        <f t="shared" si="3"/>
        <v/>
      </c>
      <c r="AM21" s="43" t="str">
        <f t="shared" si="3"/>
        <v/>
      </c>
      <c r="AN21" s="43" t="str">
        <f t="shared" si="3"/>
        <v/>
      </c>
      <c r="AO21" s="43" t="str">
        <f t="shared" si="3"/>
        <v/>
      </c>
      <c r="AP21" s="43" t="str">
        <f t="shared" si="3"/>
        <v/>
      </c>
      <c r="AQ21" s="43" t="str">
        <f t="shared" si="3"/>
        <v/>
      </c>
      <c r="AR21" s="43" t="str">
        <f t="shared" si="3"/>
        <v/>
      </c>
      <c r="AS21" s="43" t="str">
        <f t="shared" si="3"/>
        <v/>
      </c>
      <c r="AT21" s="43" t="str">
        <f t="shared" si="3"/>
        <v/>
      </c>
      <c r="AU21" s="43" t="str">
        <f t="shared" si="3"/>
        <v/>
      </c>
      <c r="AV21" s="43" t="str">
        <f t="shared" si="3"/>
        <v/>
      </c>
      <c r="AW21" s="43" t="str">
        <f t="shared" si="3"/>
        <v/>
      </c>
      <c r="AX21" s="43" t="str">
        <f t="shared" si="3"/>
        <v/>
      </c>
      <c r="AY21" s="43" t="str">
        <f t="shared" si="3"/>
        <v/>
      </c>
      <c r="AZ21" s="43" t="str">
        <f t="shared" si="4"/>
        <v/>
      </c>
      <c r="BA21" s="43" t="str">
        <f t="shared" si="4"/>
        <v/>
      </c>
      <c r="BB21" s="43" t="str">
        <f t="shared" si="4"/>
        <v/>
      </c>
      <c r="BC21" s="43" t="str">
        <f t="shared" si="4"/>
        <v/>
      </c>
    </row>
    <row r="22" spans="1:55">
      <c r="A22" s="40" t="s">
        <v>160</v>
      </c>
      <c r="B22" s="40" t="s">
        <v>128</v>
      </c>
      <c r="C22" s="42">
        <v>43929</v>
      </c>
      <c r="D22" s="43" t="str">
        <f t="shared" si="1"/>
        <v/>
      </c>
      <c r="E22" s="43" t="str">
        <f t="shared" si="1"/>
        <v/>
      </c>
      <c r="F22" s="43" t="str">
        <f t="shared" si="1"/>
        <v/>
      </c>
      <c r="G22" s="43" t="str">
        <f t="shared" si="1"/>
        <v/>
      </c>
      <c r="H22" s="43" t="str">
        <f t="shared" si="1"/>
        <v/>
      </c>
      <c r="I22" s="43" t="str">
        <f t="shared" si="1"/>
        <v/>
      </c>
      <c r="J22" s="43" t="str">
        <f t="shared" si="1"/>
        <v/>
      </c>
      <c r="K22" s="43" t="str">
        <f t="shared" si="1"/>
        <v/>
      </c>
      <c r="L22" s="43" t="str">
        <f t="shared" si="1"/>
        <v/>
      </c>
      <c r="M22" s="43" t="str">
        <f t="shared" si="1"/>
        <v/>
      </c>
      <c r="N22" s="43" t="str">
        <f t="shared" si="1"/>
        <v/>
      </c>
      <c r="O22" s="43" t="str">
        <f t="shared" si="1"/>
        <v/>
      </c>
      <c r="P22" s="43" t="str">
        <f t="shared" si="1"/>
        <v/>
      </c>
      <c r="Q22" s="43" t="str">
        <f t="shared" si="1"/>
        <v/>
      </c>
      <c r="R22" s="43" t="str">
        <f t="shared" si="1"/>
        <v>X</v>
      </c>
      <c r="S22" s="43" t="str">
        <f t="shared" si="1"/>
        <v/>
      </c>
      <c r="T22" s="43" t="str">
        <f t="shared" si="2"/>
        <v/>
      </c>
      <c r="U22" s="43" t="str">
        <f t="shared" si="2"/>
        <v/>
      </c>
      <c r="V22" s="43" t="str">
        <f t="shared" si="2"/>
        <v/>
      </c>
      <c r="W22" s="43" t="str">
        <f t="shared" si="2"/>
        <v/>
      </c>
      <c r="X22" s="43" t="str">
        <f t="shared" si="2"/>
        <v/>
      </c>
      <c r="Y22" s="43" t="str">
        <f t="shared" si="2"/>
        <v/>
      </c>
      <c r="Z22" s="43" t="str">
        <f t="shared" si="2"/>
        <v/>
      </c>
      <c r="AA22" s="43" t="str">
        <f t="shared" si="2"/>
        <v/>
      </c>
      <c r="AB22" s="43" t="str">
        <f t="shared" si="2"/>
        <v/>
      </c>
      <c r="AC22" s="43" t="str">
        <f t="shared" si="2"/>
        <v/>
      </c>
      <c r="AD22" s="43" t="str">
        <f t="shared" si="2"/>
        <v/>
      </c>
      <c r="AE22" s="43" t="str">
        <f t="shared" si="2"/>
        <v/>
      </c>
      <c r="AF22" s="43" t="str">
        <f t="shared" si="2"/>
        <v/>
      </c>
      <c r="AG22" s="43" t="str">
        <f t="shared" si="2"/>
        <v/>
      </c>
      <c r="AH22" s="43" t="str">
        <f t="shared" si="2"/>
        <v/>
      </c>
      <c r="AI22" s="43" t="str">
        <f t="shared" si="2"/>
        <v/>
      </c>
      <c r="AJ22" s="43" t="str">
        <f t="shared" si="3"/>
        <v/>
      </c>
      <c r="AK22" s="43" t="str">
        <f t="shared" si="3"/>
        <v/>
      </c>
      <c r="AL22" s="43" t="str">
        <f t="shared" si="3"/>
        <v/>
      </c>
      <c r="AM22" s="43" t="str">
        <f t="shared" si="3"/>
        <v/>
      </c>
      <c r="AN22" s="43" t="str">
        <f t="shared" si="3"/>
        <v/>
      </c>
      <c r="AO22" s="43" t="str">
        <f t="shared" si="3"/>
        <v/>
      </c>
      <c r="AP22" s="43" t="str">
        <f t="shared" si="3"/>
        <v/>
      </c>
      <c r="AQ22" s="43" t="str">
        <f t="shared" si="3"/>
        <v/>
      </c>
      <c r="AR22" s="43" t="str">
        <f t="shared" si="3"/>
        <v/>
      </c>
      <c r="AS22" s="43" t="str">
        <f t="shared" si="3"/>
        <v/>
      </c>
      <c r="AT22" s="43" t="str">
        <f t="shared" si="3"/>
        <v/>
      </c>
      <c r="AU22" s="43" t="str">
        <f t="shared" si="3"/>
        <v/>
      </c>
      <c r="AV22" s="43" t="str">
        <f t="shared" si="3"/>
        <v/>
      </c>
      <c r="AW22" s="43" t="str">
        <f t="shared" si="3"/>
        <v/>
      </c>
      <c r="AX22" s="43" t="str">
        <f t="shared" si="3"/>
        <v/>
      </c>
      <c r="AY22" s="43" t="str">
        <f t="shared" si="3"/>
        <v/>
      </c>
      <c r="AZ22" s="43" t="str">
        <f t="shared" si="4"/>
        <v/>
      </c>
      <c r="BA22" s="43" t="str">
        <f t="shared" si="4"/>
        <v/>
      </c>
      <c r="BB22" s="43" t="str">
        <f t="shared" si="4"/>
        <v/>
      </c>
      <c r="BC22" s="43" t="str">
        <f t="shared" si="4"/>
        <v/>
      </c>
    </row>
    <row r="23" spans="1:55">
      <c r="A23" s="40" t="s">
        <v>161</v>
      </c>
      <c r="B23" s="40" t="s">
        <v>162</v>
      </c>
      <c r="C23" s="42">
        <v>43945</v>
      </c>
      <c r="D23" s="43" t="str">
        <f t="shared" si="1"/>
        <v/>
      </c>
      <c r="E23" s="43" t="str">
        <f t="shared" si="1"/>
        <v/>
      </c>
      <c r="F23" s="43" t="str">
        <f t="shared" si="1"/>
        <v/>
      </c>
      <c r="G23" s="43" t="str">
        <f t="shared" si="1"/>
        <v/>
      </c>
      <c r="H23" s="43" t="str">
        <f t="shared" si="1"/>
        <v/>
      </c>
      <c r="I23" s="43" t="str">
        <f t="shared" si="1"/>
        <v/>
      </c>
      <c r="J23" s="43" t="str">
        <f t="shared" si="1"/>
        <v/>
      </c>
      <c r="K23" s="43" t="str">
        <f t="shared" si="1"/>
        <v/>
      </c>
      <c r="L23" s="43" t="str">
        <f t="shared" si="1"/>
        <v/>
      </c>
      <c r="M23" s="43" t="str">
        <f t="shared" si="1"/>
        <v/>
      </c>
      <c r="N23" s="43" t="str">
        <f t="shared" si="1"/>
        <v/>
      </c>
      <c r="O23" s="43" t="str">
        <f t="shared" ref="O23:AD33" si="5">IF(WEEKNUM($C23)=O$1,"X","")</f>
        <v/>
      </c>
      <c r="P23" s="43" t="str">
        <f t="shared" si="5"/>
        <v/>
      </c>
      <c r="Q23" s="43" t="str">
        <f t="shared" si="5"/>
        <v/>
      </c>
      <c r="R23" s="43" t="str">
        <f t="shared" si="5"/>
        <v/>
      </c>
      <c r="S23" s="43" t="str">
        <f t="shared" si="5"/>
        <v/>
      </c>
      <c r="T23" s="43" t="str">
        <f t="shared" si="5"/>
        <v>X</v>
      </c>
      <c r="U23" s="43" t="str">
        <f t="shared" si="5"/>
        <v/>
      </c>
      <c r="V23" s="43" t="str">
        <f t="shared" si="5"/>
        <v/>
      </c>
      <c r="W23" s="43" t="str">
        <f t="shared" si="5"/>
        <v/>
      </c>
      <c r="X23" s="43" t="str">
        <f t="shared" si="5"/>
        <v/>
      </c>
      <c r="Y23" s="43" t="str">
        <f t="shared" si="5"/>
        <v/>
      </c>
      <c r="Z23" s="43" t="str">
        <f t="shared" si="5"/>
        <v/>
      </c>
      <c r="AA23" s="43" t="str">
        <f t="shared" si="5"/>
        <v/>
      </c>
      <c r="AB23" s="43" t="str">
        <f t="shared" si="5"/>
        <v/>
      </c>
      <c r="AC23" s="43" t="str">
        <f t="shared" si="5"/>
        <v/>
      </c>
      <c r="AD23" s="43" t="str">
        <f t="shared" si="5"/>
        <v/>
      </c>
      <c r="AE23" s="43" t="str">
        <f t="shared" si="2"/>
        <v/>
      </c>
      <c r="AF23" s="43" t="str">
        <f t="shared" si="2"/>
        <v/>
      </c>
      <c r="AG23" s="43" t="str">
        <f t="shared" si="2"/>
        <v/>
      </c>
      <c r="AH23" s="43" t="str">
        <f t="shared" si="2"/>
        <v/>
      </c>
      <c r="AI23" s="43" t="str">
        <f t="shared" si="2"/>
        <v/>
      </c>
      <c r="AJ23" s="43" t="str">
        <f t="shared" si="3"/>
        <v/>
      </c>
      <c r="AK23" s="43" t="str">
        <f t="shared" si="3"/>
        <v/>
      </c>
      <c r="AL23" s="43" t="str">
        <f t="shared" si="3"/>
        <v/>
      </c>
      <c r="AM23" s="43" t="str">
        <f t="shared" si="3"/>
        <v/>
      </c>
      <c r="AN23" s="43" t="str">
        <f t="shared" si="3"/>
        <v/>
      </c>
      <c r="AO23" s="43" t="str">
        <f t="shared" si="3"/>
        <v/>
      </c>
      <c r="AP23" s="43" t="str">
        <f t="shared" si="3"/>
        <v/>
      </c>
      <c r="AQ23" s="43" t="str">
        <f t="shared" si="3"/>
        <v/>
      </c>
      <c r="AR23" s="43" t="str">
        <f t="shared" si="3"/>
        <v/>
      </c>
      <c r="AS23" s="43" t="str">
        <f t="shared" si="3"/>
        <v/>
      </c>
      <c r="AT23" s="43" t="str">
        <f t="shared" si="3"/>
        <v/>
      </c>
      <c r="AU23" s="43" t="str">
        <f t="shared" si="3"/>
        <v/>
      </c>
      <c r="AV23" s="43" t="str">
        <f t="shared" si="3"/>
        <v/>
      </c>
      <c r="AW23" s="43" t="str">
        <f t="shared" si="3"/>
        <v/>
      </c>
      <c r="AX23" s="43" t="str">
        <f t="shared" si="3"/>
        <v/>
      </c>
      <c r="AY23" s="43" t="str">
        <f t="shared" ref="AY23:BC33" si="6">IF(WEEKNUM($C23)=AY$1,"X","")</f>
        <v/>
      </c>
      <c r="AZ23" s="43" t="str">
        <f t="shared" si="6"/>
        <v/>
      </c>
      <c r="BA23" s="43" t="str">
        <f t="shared" si="6"/>
        <v/>
      </c>
      <c r="BB23" s="43" t="str">
        <f t="shared" si="6"/>
        <v/>
      </c>
      <c r="BC23" s="43" t="str">
        <f t="shared" si="6"/>
        <v/>
      </c>
    </row>
    <row r="24" spans="1:55">
      <c r="A24" s="40" t="s">
        <v>161</v>
      </c>
      <c r="B24" s="40" t="s">
        <v>163</v>
      </c>
      <c r="C24" s="42">
        <v>43934</v>
      </c>
      <c r="D24" s="43" t="str">
        <f t="shared" ref="D24:S33" si="7">IF(WEEKNUM($C24)=D$1,"X","")</f>
        <v/>
      </c>
      <c r="E24" s="43" t="str">
        <f t="shared" si="7"/>
        <v/>
      </c>
      <c r="F24" s="43" t="str">
        <f t="shared" si="7"/>
        <v/>
      </c>
      <c r="G24" s="43" t="str">
        <f t="shared" si="7"/>
        <v/>
      </c>
      <c r="H24" s="43" t="str">
        <f t="shared" si="7"/>
        <v/>
      </c>
      <c r="I24" s="43" t="str">
        <f t="shared" si="7"/>
        <v/>
      </c>
      <c r="J24" s="43" t="str">
        <f t="shared" si="7"/>
        <v/>
      </c>
      <c r="K24" s="43" t="str">
        <f t="shared" si="7"/>
        <v/>
      </c>
      <c r="L24" s="43" t="str">
        <f t="shared" si="7"/>
        <v/>
      </c>
      <c r="M24" s="43" t="str">
        <f t="shared" si="7"/>
        <v/>
      </c>
      <c r="N24" s="43" t="str">
        <f t="shared" si="7"/>
        <v/>
      </c>
      <c r="O24" s="43" t="str">
        <f t="shared" si="7"/>
        <v/>
      </c>
      <c r="P24" s="43" t="str">
        <f t="shared" si="7"/>
        <v/>
      </c>
      <c r="Q24" s="43" t="str">
        <f t="shared" si="7"/>
        <v/>
      </c>
      <c r="R24" s="43" t="str">
        <f t="shared" si="7"/>
        <v/>
      </c>
      <c r="S24" s="43" t="str">
        <f t="shared" si="7"/>
        <v>X</v>
      </c>
      <c r="T24" s="43" t="str">
        <f t="shared" si="5"/>
        <v/>
      </c>
      <c r="U24" s="43" t="str">
        <f t="shared" si="5"/>
        <v/>
      </c>
      <c r="V24" s="43" t="str">
        <f t="shared" si="5"/>
        <v/>
      </c>
      <c r="W24" s="43" t="str">
        <f t="shared" si="5"/>
        <v/>
      </c>
      <c r="X24" s="43" t="str">
        <f t="shared" si="5"/>
        <v/>
      </c>
      <c r="Y24" s="43" t="str">
        <f t="shared" si="5"/>
        <v/>
      </c>
      <c r="Z24" s="43" t="str">
        <f t="shared" si="5"/>
        <v/>
      </c>
      <c r="AA24" s="43" t="str">
        <f t="shared" si="5"/>
        <v/>
      </c>
      <c r="AB24" s="43" t="str">
        <f t="shared" si="5"/>
        <v/>
      </c>
      <c r="AC24" s="43" t="str">
        <f t="shared" si="5"/>
        <v/>
      </c>
      <c r="AD24" s="43" t="str">
        <f t="shared" si="5"/>
        <v/>
      </c>
      <c r="AE24" s="43" t="str">
        <f t="shared" si="2"/>
        <v/>
      </c>
      <c r="AF24" s="43" t="str">
        <f t="shared" si="2"/>
        <v/>
      </c>
      <c r="AG24" s="43" t="str">
        <f t="shared" si="2"/>
        <v/>
      </c>
      <c r="AH24" s="43" t="str">
        <f t="shared" si="2"/>
        <v/>
      </c>
      <c r="AI24" s="43" t="str">
        <f t="shared" si="2"/>
        <v/>
      </c>
      <c r="AJ24" s="43" t="str">
        <f t="shared" ref="AJ24:AY33" si="8">IF(WEEKNUM($C24)=AJ$1,"X","")</f>
        <v/>
      </c>
      <c r="AK24" s="43" t="str">
        <f t="shared" si="8"/>
        <v/>
      </c>
      <c r="AL24" s="43" t="str">
        <f t="shared" si="8"/>
        <v/>
      </c>
      <c r="AM24" s="43" t="str">
        <f t="shared" si="8"/>
        <v/>
      </c>
      <c r="AN24" s="43" t="str">
        <f t="shared" si="8"/>
        <v/>
      </c>
      <c r="AO24" s="43" t="str">
        <f t="shared" si="8"/>
        <v/>
      </c>
      <c r="AP24" s="43" t="str">
        <f t="shared" si="8"/>
        <v/>
      </c>
      <c r="AQ24" s="43" t="str">
        <f t="shared" si="8"/>
        <v/>
      </c>
      <c r="AR24" s="43" t="str">
        <f t="shared" si="8"/>
        <v/>
      </c>
      <c r="AS24" s="43" t="str">
        <f t="shared" si="8"/>
        <v/>
      </c>
      <c r="AT24" s="43" t="str">
        <f t="shared" si="8"/>
        <v/>
      </c>
      <c r="AU24" s="43" t="str">
        <f t="shared" si="8"/>
        <v/>
      </c>
      <c r="AV24" s="43" t="str">
        <f t="shared" si="8"/>
        <v/>
      </c>
      <c r="AW24" s="43" t="str">
        <f t="shared" si="8"/>
        <v/>
      </c>
      <c r="AX24" s="43" t="str">
        <f t="shared" si="8"/>
        <v/>
      </c>
      <c r="AY24" s="43" t="str">
        <f t="shared" si="8"/>
        <v/>
      </c>
      <c r="AZ24" s="43" t="str">
        <f t="shared" si="6"/>
        <v/>
      </c>
      <c r="BA24" s="43" t="str">
        <f t="shared" si="6"/>
        <v/>
      </c>
      <c r="BB24" s="43" t="str">
        <f t="shared" si="6"/>
        <v/>
      </c>
      <c r="BC24" s="43" t="str">
        <f t="shared" si="6"/>
        <v/>
      </c>
    </row>
    <row r="25" spans="1:55">
      <c r="A25" s="40" t="s">
        <v>164</v>
      </c>
      <c r="B25" s="40" t="s">
        <v>165</v>
      </c>
      <c r="C25" s="42">
        <v>43888</v>
      </c>
      <c r="D25" s="43" t="str">
        <f t="shared" si="7"/>
        <v/>
      </c>
      <c r="E25" s="43" t="str">
        <f t="shared" si="7"/>
        <v/>
      </c>
      <c r="F25" s="43" t="str">
        <f t="shared" si="7"/>
        <v/>
      </c>
      <c r="G25" s="43" t="str">
        <f t="shared" si="7"/>
        <v/>
      </c>
      <c r="H25" s="43" t="str">
        <f t="shared" si="7"/>
        <v/>
      </c>
      <c r="I25" s="43" t="str">
        <f t="shared" si="7"/>
        <v/>
      </c>
      <c r="J25" s="43" t="str">
        <f t="shared" si="7"/>
        <v/>
      </c>
      <c r="K25" s="43" t="str">
        <f t="shared" si="7"/>
        <v/>
      </c>
      <c r="L25" s="43" t="str">
        <f t="shared" si="7"/>
        <v>X</v>
      </c>
      <c r="M25" s="43" t="str">
        <f t="shared" si="7"/>
        <v/>
      </c>
      <c r="N25" s="43" t="str">
        <f t="shared" si="7"/>
        <v/>
      </c>
      <c r="O25" s="43" t="str">
        <f t="shared" si="7"/>
        <v/>
      </c>
      <c r="P25" s="43" t="str">
        <f t="shared" si="7"/>
        <v/>
      </c>
      <c r="Q25" s="43" t="str">
        <f t="shared" si="7"/>
        <v/>
      </c>
      <c r="R25" s="43" t="str">
        <f t="shared" si="7"/>
        <v/>
      </c>
      <c r="S25" s="43" t="str">
        <f t="shared" si="7"/>
        <v/>
      </c>
      <c r="T25" s="43" t="str">
        <f t="shared" si="5"/>
        <v/>
      </c>
      <c r="U25" s="43" t="str">
        <f t="shared" si="5"/>
        <v/>
      </c>
      <c r="V25" s="43" t="str">
        <f t="shared" si="5"/>
        <v/>
      </c>
      <c r="W25" s="43" t="str">
        <f t="shared" si="5"/>
        <v/>
      </c>
      <c r="X25" s="43" t="str">
        <f t="shared" si="5"/>
        <v/>
      </c>
      <c r="Y25" s="43" t="str">
        <f t="shared" si="5"/>
        <v/>
      </c>
      <c r="Z25" s="43" t="str">
        <f t="shared" si="5"/>
        <v/>
      </c>
      <c r="AA25" s="43" t="str">
        <f t="shared" si="5"/>
        <v/>
      </c>
      <c r="AB25" s="43" t="str">
        <f t="shared" si="5"/>
        <v/>
      </c>
      <c r="AC25" s="43" t="str">
        <f t="shared" si="5"/>
        <v/>
      </c>
      <c r="AD25" s="43" t="str">
        <f t="shared" si="5"/>
        <v/>
      </c>
      <c r="AE25" s="43" t="str">
        <f t="shared" si="2"/>
        <v/>
      </c>
      <c r="AF25" s="43" t="str">
        <f t="shared" si="2"/>
        <v/>
      </c>
      <c r="AG25" s="43" t="str">
        <f t="shared" si="2"/>
        <v/>
      </c>
      <c r="AH25" s="43" t="str">
        <f t="shared" si="2"/>
        <v/>
      </c>
      <c r="AI25" s="43" t="str">
        <f t="shared" si="2"/>
        <v/>
      </c>
      <c r="AJ25" s="43" t="str">
        <f t="shared" si="8"/>
        <v/>
      </c>
      <c r="AK25" s="43" t="str">
        <f t="shared" si="8"/>
        <v/>
      </c>
      <c r="AL25" s="43" t="str">
        <f t="shared" si="8"/>
        <v/>
      </c>
      <c r="AM25" s="43" t="str">
        <f t="shared" si="8"/>
        <v/>
      </c>
      <c r="AN25" s="43" t="str">
        <f t="shared" si="8"/>
        <v/>
      </c>
      <c r="AO25" s="43" t="str">
        <f t="shared" si="8"/>
        <v/>
      </c>
      <c r="AP25" s="43" t="str">
        <f t="shared" si="8"/>
        <v/>
      </c>
      <c r="AQ25" s="43" t="str">
        <f t="shared" si="8"/>
        <v/>
      </c>
      <c r="AR25" s="43" t="str">
        <f t="shared" si="8"/>
        <v/>
      </c>
      <c r="AS25" s="43" t="str">
        <f t="shared" si="8"/>
        <v/>
      </c>
      <c r="AT25" s="43" t="str">
        <f t="shared" si="8"/>
        <v/>
      </c>
      <c r="AU25" s="43" t="str">
        <f t="shared" si="8"/>
        <v/>
      </c>
      <c r="AV25" s="43" t="str">
        <f t="shared" si="8"/>
        <v/>
      </c>
      <c r="AW25" s="43" t="str">
        <f t="shared" si="8"/>
        <v/>
      </c>
      <c r="AX25" s="43" t="str">
        <f t="shared" si="8"/>
        <v/>
      </c>
      <c r="AY25" s="43" t="str">
        <f t="shared" si="8"/>
        <v/>
      </c>
      <c r="AZ25" s="43" t="str">
        <f t="shared" si="6"/>
        <v/>
      </c>
      <c r="BA25" s="43" t="str">
        <f t="shared" si="6"/>
        <v/>
      </c>
      <c r="BB25" s="43" t="str">
        <f t="shared" si="6"/>
        <v/>
      </c>
      <c r="BC25" s="43" t="str">
        <f t="shared" si="6"/>
        <v/>
      </c>
    </row>
    <row r="26" spans="1:55">
      <c r="A26" s="40" t="s">
        <v>166</v>
      </c>
      <c r="B26" s="40" t="s">
        <v>167</v>
      </c>
      <c r="C26" s="42">
        <v>43956</v>
      </c>
      <c r="D26" s="43" t="str">
        <f t="shared" si="7"/>
        <v/>
      </c>
      <c r="E26" s="43" t="str">
        <f t="shared" si="7"/>
        <v/>
      </c>
      <c r="F26" s="43" t="str">
        <f t="shared" si="7"/>
        <v/>
      </c>
      <c r="G26" s="43" t="str">
        <f t="shared" si="7"/>
        <v/>
      </c>
      <c r="H26" s="43" t="str">
        <f t="shared" si="7"/>
        <v/>
      </c>
      <c r="I26" s="43" t="str">
        <f t="shared" si="7"/>
        <v/>
      </c>
      <c r="J26" s="43" t="str">
        <f t="shared" si="7"/>
        <v/>
      </c>
      <c r="K26" s="43" t="str">
        <f t="shared" si="7"/>
        <v/>
      </c>
      <c r="L26" s="43" t="str">
        <f t="shared" si="7"/>
        <v/>
      </c>
      <c r="M26" s="43" t="str">
        <f t="shared" si="7"/>
        <v/>
      </c>
      <c r="N26" s="43" t="str">
        <f t="shared" si="7"/>
        <v/>
      </c>
      <c r="O26" s="43" t="str">
        <f t="shared" si="7"/>
        <v/>
      </c>
      <c r="P26" s="43" t="str">
        <f t="shared" si="7"/>
        <v/>
      </c>
      <c r="Q26" s="43" t="str">
        <f t="shared" si="7"/>
        <v/>
      </c>
      <c r="R26" s="43" t="str">
        <f t="shared" si="7"/>
        <v/>
      </c>
      <c r="S26" s="43" t="str">
        <f t="shared" si="7"/>
        <v/>
      </c>
      <c r="T26" s="43" t="str">
        <f t="shared" si="5"/>
        <v/>
      </c>
      <c r="U26" s="43" t="str">
        <f t="shared" si="5"/>
        <v/>
      </c>
      <c r="V26" s="43" t="str">
        <f t="shared" si="5"/>
        <v>X</v>
      </c>
      <c r="W26" s="43" t="str">
        <f t="shared" si="5"/>
        <v/>
      </c>
      <c r="X26" s="43" t="str">
        <f t="shared" si="5"/>
        <v/>
      </c>
      <c r="Y26" s="43" t="str">
        <f t="shared" si="5"/>
        <v/>
      </c>
      <c r="Z26" s="43" t="str">
        <f t="shared" si="5"/>
        <v/>
      </c>
      <c r="AA26" s="43" t="str">
        <f t="shared" si="5"/>
        <v/>
      </c>
      <c r="AB26" s="43" t="str">
        <f t="shared" si="5"/>
        <v/>
      </c>
      <c r="AC26" s="43" t="str">
        <f t="shared" si="5"/>
        <v/>
      </c>
      <c r="AD26" s="43" t="str">
        <f t="shared" si="5"/>
        <v/>
      </c>
      <c r="AE26" s="43" t="str">
        <f t="shared" ref="AE26:AT33" si="9">IF(WEEKNUM($C26)=AE$1,"X","")</f>
        <v/>
      </c>
      <c r="AF26" s="43" t="str">
        <f t="shared" si="9"/>
        <v/>
      </c>
      <c r="AG26" s="43" t="str">
        <f t="shared" si="9"/>
        <v/>
      </c>
      <c r="AH26" s="43" t="str">
        <f t="shared" si="9"/>
        <v/>
      </c>
      <c r="AI26" s="43" t="str">
        <f t="shared" si="9"/>
        <v/>
      </c>
      <c r="AJ26" s="43" t="str">
        <f t="shared" si="9"/>
        <v/>
      </c>
      <c r="AK26" s="43" t="str">
        <f t="shared" si="9"/>
        <v/>
      </c>
      <c r="AL26" s="43" t="str">
        <f t="shared" si="9"/>
        <v/>
      </c>
      <c r="AM26" s="43" t="str">
        <f t="shared" si="9"/>
        <v/>
      </c>
      <c r="AN26" s="43" t="str">
        <f t="shared" si="9"/>
        <v/>
      </c>
      <c r="AO26" s="43" t="str">
        <f t="shared" si="9"/>
        <v/>
      </c>
      <c r="AP26" s="43" t="str">
        <f t="shared" si="9"/>
        <v/>
      </c>
      <c r="AQ26" s="43" t="str">
        <f t="shared" si="9"/>
        <v/>
      </c>
      <c r="AR26" s="43" t="str">
        <f t="shared" si="9"/>
        <v/>
      </c>
      <c r="AS26" s="43" t="str">
        <f t="shared" si="9"/>
        <v/>
      </c>
      <c r="AT26" s="43" t="str">
        <f t="shared" si="9"/>
        <v/>
      </c>
      <c r="AU26" s="43" t="str">
        <f t="shared" si="8"/>
        <v/>
      </c>
      <c r="AV26" s="43" t="str">
        <f t="shared" si="8"/>
        <v/>
      </c>
      <c r="AW26" s="43" t="str">
        <f t="shared" si="8"/>
        <v/>
      </c>
      <c r="AX26" s="43" t="str">
        <f t="shared" si="8"/>
        <v/>
      </c>
      <c r="AY26" s="43" t="str">
        <f t="shared" si="8"/>
        <v/>
      </c>
      <c r="AZ26" s="43" t="str">
        <f t="shared" si="6"/>
        <v/>
      </c>
      <c r="BA26" s="43" t="str">
        <f t="shared" si="6"/>
        <v/>
      </c>
      <c r="BB26" s="43" t="str">
        <f t="shared" si="6"/>
        <v/>
      </c>
      <c r="BC26" s="43" t="str">
        <f t="shared" si="6"/>
        <v/>
      </c>
    </row>
    <row r="27" spans="1:55">
      <c r="A27" s="40" t="s">
        <v>168</v>
      </c>
      <c r="B27" s="40" t="s">
        <v>169</v>
      </c>
      <c r="C27" s="42">
        <v>43921</v>
      </c>
      <c r="D27" s="43" t="str">
        <f t="shared" si="7"/>
        <v/>
      </c>
      <c r="E27" s="43" t="str">
        <f t="shared" si="7"/>
        <v/>
      </c>
      <c r="F27" s="43" t="str">
        <f t="shared" si="7"/>
        <v/>
      </c>
      <c r="G27" s="43" t="str">
        <f t="shared" si="7"/>
        <v/>
      </c>
      <c r="H27" s="43" t="str">
        <f t="shared" si="7"/>
        <v/>
      </c>
      <c r="I27" s="43" t="str">
        <f t="shared" si="7"/>
        <v/>
      </c>
      <c r="J27" s="43" t="str">
        <f t="shared" si="7"/>
        <v/>
      </c>
      <c r="K27" s="43" t="str">
        <f t="shared" si="7"/>
        <v/>
      </c>
      <c r="L27" s="43" t="str">
        <f t="shared" si="7"/>
        <v/>
      </c>
      <c r="M27" s="43" t="str">
        <f t="shared" si="7"/>
        <v/>
      </c>
      <c r="N27" s="43" t="str">
        <f t="shared" si="7"/>
        <v/>
      </c>
      <c r="O27" s="43" t="str">
        <f t="shared" si="7"/>
        <v/>
      </c>
      <c r="P27" s="43" t="str">
        <f t="shared" si="7"/>
        <v/>
      </c>
      <c r="Q27" s="43" t="str">
        <f t="shared" si="7"/>
        <v>X</v>
      </c>
      <c r="R27" s="43" t="str">
        <f t="shared" si="7"/>
        <v/>
      </c>
      <c r="S27" s="43" t="str">
        <f t="shared" si="7"/>
        <v/>
      </c>
      <c r="T27" s="43" t="str">
        <f t="shared" si="5"/>
        <v/>
      </c>
      <c r="U27" s="43" t="str">
        <f t="shared" si="5"/>
        <v/>
      </c>
      <c r="V27" s="43" t="str">
        <f t="shared" si="5"/>
        <v/>
      </c>
      <c r="W27" s="43" t="str">
        <f t="shared" si="5"/>
        <v/>
      </c>
      <c r="X27" s="43" t="str">
        <f t="shared" si="5"/>
        <v/>
      </c>
      <c r="Y27" s="43" t="str">
        <f t="shared" si="5"/>
        <v/>
      </c>
      <c r="Z27" s="43" t="str">
        <f t="shared" si="5"/>
        <v/>
      </c>
      <c r="AA27" s="43" t="str">
        <f t="shared" si="5"/>
        <v/>
      </c>
      <c r="AB27" s="43" t="str">
        <f t="shared" si="5"/>
        <v/>
      </c>
      <c r="AC27" s="43" t="str">
        <f t="shared" si="5"/>
        <v/>
      </c>
      <c r="AD27" s="43" t="str">
        <f t="shared" si="5"/>
        <v/>
      </c>
      <c r="AE27" s="43" t="str">
        <f t="shared" si="9"/>
        <v/>
      </c>
      <c r="AF27" s="43" t="str">
        <f t="shared" si="9"/>
        <v/>
      </c>
      <c r="AG27" s="43" t="str">
        <f t="shared" si="9"/>
        <v/>
      </c>
      <c r="AH27" s="43" t="str">
        <f t="shared" si="9"/>
        <v/>
      </c>
      <c r="AI27" s="43" t="str">
        <f t="shared" si="9"/>
        <v/>
      </c>
      <c r="AJ27" s="43" t="str">
        <f t="shared" si="9"/>
        <v/>
      </c>
      <c r="AK27" s="43" t="str">
        <f t="shared" si="9"/>
        <v/>
      </c>
      <c r="AL27" s="43" t="str">
        <f t="shared" si="9"/>
        <v/>
      </c>
      <c r="AM27" s="43" t="str">
        <f t="shared" si="9"/>
        <v/>
      </c>
      <c r="AN27" s="43" t="str">
        <f t="shared" si="9"/>
        <v/>
      </c>
      <c r="AO27" s="43" t="str">
        <f t="shared" si="9"/>
        <v/>
      </c>
      <c r="AP27" s="43" t="str">
        <f t="shared" si="9"/>
        <v/>
      </c>
      <c r="AQ27" s="43" t="str">
        <f t="shared" si="9"/>
        <v/>
      </c>
      <c r="AR27" s="43" t="str">
        <f t="shared" si="9"/>
        <v/>
      </c>
      <c r="AS27" s="43" t="str">
        <f t="shared" si="9"/>
        <v/>
      </c>
      <c r="AT27" s="43" t="str">
        <f t="shared" si="9"/>
        <v/>
      </c>
      <c r="AU27" s="43" t="str">
        <f t="shared" si="8"/>
        <v/>
      </c>
      <c r="AV27" s="43" t="str">
        <f t="shared" si="8"/>
        <v/>
      </c>
      <c r="AW27" s="43" t="str">
        <f t="shared" si="8"/>
        <v/>
      </c>
      <c r="AX27" s="43" t="str">
        <f t="shared" si="8"/>
        <v/>
      </c>
      <c r="AY27" s="43" t="str">
        <f t="shared" si="8"/>
        <v/>
      </c>
      <c r="AZ27" s="43" t="str">
        <f t="shared" si="6"/>
        <v/>
      </c>
      <c r="BA27" s="43" t="str">
        <f t="shared" si="6"/>
        <v/>
      </c>
      <c r="BB27" s="43" t="str">
        <f t="shared" si="6"/>
        <v/>
      </c>
      <c r="BC27" s="43" t="str">
        <f t="shared" si="6"/>
        <v/>
      </c>
    </row>
    <row r="28" spans="1:55">
      <c r="A28" s="40" t="s">
        <v>170</v>
      </c>
      <c r="B28" s="40" t="s">
        <v>171</v>
      </c>
      <c r="C28" s="42">
        <v>43933</v>
      </c>
      <c r="D28" s="43" t="str">
        <f t="shared" si="7"/>
        <v/>
      </c>
      <c r="E28" s="43" t="str">
        <f t="shared" si="7"/>
        <v/>
      </c>
      <c r="F28" s="43" t="str">
        <f t="shared" si="7"/>
        <v/>
      </c>
      <c r="G28" s="43" t="str">
        <f t="shared" si="7"/>
        <v/>
      </c>
      <c r="H28" s="43" t="str">
        <f t="shared" si="7"/>
        <v/>
      </c>
      <c r="I28" s="43" t="str">
        <f t="shared" si="7"/>
        <v/>
      </c>
      <c r="J28" s="43" t="str">
        <f t="shared" si="7"/>
        <v/>
      </c>
      <c r="K28" s="43" t="str">
        <f t="shared" si="7"/>
        <v/>
      </c>
      <c r="L28" s="43" t="str">
        <f t="shared" si="7"/>
        <v/>
      </c>
      <c r="M28" s="43" t="str">
        <f t="shared" si="7"/>
        <v/>
      </c>
      <c r="N28" s="43" t="str">
        <f t="shared" si="7"/>
        <v/>
      </c>
      <c r="O28" s="43" t="str">
        <f t="shared" si="7"/>
        <v/>
      </c>
      <c r="P28" s="43" t="str">
        <f t="shared" si="7"/>
        <v/>
      </c>
      <c r="Q28" s="43" t="str">
        <f t="shared" si="7"/>
        <v/>
      </c>
      <c r="R28" s="43" t="str">
        <f t="shared" si="7"/>
        <v/>
      </c>
      <c r="S28" s="43" t="str">
        <f t="shared" si="7"/>
        <v>X</v>
      </c>
      <c r="T28" s="43" t="str">
        <f t="shared" si="5"/>
        <v/>
      </c>
      <c r="U28" s="43" t="str">
        <f t="shared" si="5"/>
        <v/>
      </c>
      <c r="V28" s="43" t="str">
        <f t="shared" si="5"/>
        <v/>
      </c>
      <c r="W28" s="43" t="str">
        <f t="shared" si="5"/>
        <v/>
      </c>
      <c r="X28" s="43" t="str">
        <f t="shared" si="5"/>
        <v/>
      </c>
      <c r="Y28" s="43" t="str">
        <f t="shared" si="5"/>
        <v/>
      </c>
      <c r="Z28" s="43" t="str">
        <f t="shared" si="5"/>
        <v/>
      </c>
      <c r="AA28" s="43" t="str">
        <f t="shared" si="5"/>
        <v/>
      </c>
      <c r="AB28" s="43" t="str">
        <f t="shared" si="5"/>
        <v/>
      </c>
      <c r="AC28" s="43" t="str">
        <f t="shared" si="5"/>
        <v/>
      </c>
      <c r="AD28" s="43" t="str">
        <f t="shared" si="5"/>
        <v/>
      </c>
      <c r="AE28" s="43" t="str">
        <f t="shared" si="9"/>
        <v/>
      </c>
      <c r="AF28" s="43" t="str">
        <f t="shared" si="9"/>
        <v/>
      </c>
      <c r="AG28" s="43" t="str">
        <f t="shared" si="9"/>
        <v/>
      </c>
      <c r="AH28" s="43" t="str">
        <f t="shared" si="9"/>
        <v/>
      </c>
      <c r="AI28" s="43" t="str">
        <f t="shared" si="9"/>
        <v/>
      </c>
      <c r="AJ28" s="43" t="str">
        <f t="shared" si="9"/>
        <v/>
      </c>
      <c r="AK28" s="43" t="str">
        <f t="shared" si="9"/>
        <v/>
      </c>
      <c r="AL28" s="43" t="str">
        <f t="shared" si="9"/>
        <v/>
      </c>
      <c r="AM28" s="43" t="str">
        <f t="shared" si="9"/>
        <v/>
      </c>
      <c r="AN28" s="43" t="str">
        <f t="shared" si="9"/>
        <v/>
      </c>
      <c r="AO28" s="43" t="str">
        <f t="shared" si="9"/>
        <v/>
      </c>
      <c r="AP28" s="43" t="str">
        <f t="shared" si="9"/>
        <v/>
      </c>
      <c r="AQ28" s="43" t="str">
        <f t="shared" si="9"/>
        <v/>
      </c>
      <c r="AR28" s="43" t="str">
        <f t="shared" si="9"/>
        <v/>
      </c>
      <c r="AS28" s="43" t="str">
        <f t="shared" si="9"/>
        <v/>
      </c>
      <c r="AT28" s="43" t="str">
        <f t="shared" si="9"/>
        <v/>
      </c>
      <c r="AU28" s="43" t="str">
        <f t="shared" si="8"/>
        <v/>
      </c>
      <c r="AV28" s="43" t="str">
        <f t="shared" si="8"/>
        <v/>
      </c>
      <c r="AW28" s="43" t="str">
        <f t="shared" si="8"/>
        <v/>
      </c>
      <c r="AX28" s="43" t="str">
        <f t="shared" si="8"/>
        <v/>
      </c>
      <c r="AY28" s="43" t="str">
        <f t="shared" si="8"/>
        <v/>
      </c>
      <c r="AZ28" s="43" t="str">
        <f t="shared" si="6"/>
        <v/>
      </c>
      <c r="BA28" s="43" t="str">
        <f t="shared" si="6"/>
        <v/>
      </c>
      <c r="BB28" s="43" t="str">
        <f t="shared" si="6"/>
        <v/>
      </c>
      <c r="BC28" s="43" t="str">
        <f t="shared" si="6"/>
        <v/>
      </c>
    </row>
    <row r="29" spans="1:55">
      <c r="A29" s="40" t="s">
        <v>172</v>
      </c>
      <c r="B29" s="40" t="s">
        <v>173</v>
      </c>
      <c r="C29" s="42">
        <v>43973</v>
      </c>
      <c r="D29" s="43" t="str">
        <f t="shared" si="7"/>
        <v/>
      </c>
      <c r="E29" s="43" t="str">
        <f t="shared" si="7"/>
        <v/>
      </c>
      <c r="F29" s="43" t="str">
        <f t="shared" si="7"/>
        <v/>
      </c>
      <c r="G29" s="43" t="str">
        <f t="shared" si="7"/>
        <v/>
      </c>
      <c r="H29" s="43" t="str">
        <f t="shared" si="7"/>
        <v/>
      </c>
      <c r="I29" s="43" t="str">
        <f t="shared" si="7"/>
        <v/>
      </c>
      <c r="J29" s="43" t="str">
        <f t="shared" si="7"/>
        <v/>
      </c>
      <c r="K29" s="43" t="str">
        <f t="shared" si="7"/>
        <v/>
      </c>
      <c r="L29" s="43" t="str">
        <f t="shared" si="7"/>
        <v/>
      </c>
      <c r="M29" s="43" t="str">
        <f t="shared" si="7"/>
        <v/>
      </c>
      <c r="N29" s="43" t="str">
        <f t="shared" si="7"/>
        <v/>
      </c>
      <c r="O29" s="43" t="str">
        <f t="shared" si="7"/>
        <v/>
      </c>
      <c r="P29" s="43" t="str">
        <f t="shared" si="7"/>
        <v/>
      </c>
      <c r="Q29" s="43" t="str">
        <f t="shared" si="7"/>
        <v/>
      </c>
      <c r="R29" s="43" t="str">
        <f t="shared" si="7"/>
        <v/>
      </c>
      <c r="S29" s="43" t="str">
        <f t="shared" si="7"/>
        <v/>
      </c>
      <c r="T29" s="43" t="str">
        <f t="shared" si="5"/>
        <v/>
      </c>
      <c r="U29" s="43" t="str">
        <f t="shared" si="5"/>
        <v/>
      </c>
      <c r="V29" s="43" t="str">
        <f t="shared" si="5"/>
        <v/>
      </c>
      <c r="W29" s="43" t="str">
        <f t="shared" si="5"/>
        <v/>
      </c>
      <c r="X29" s="43" t="str">
        <f t="shared" si="5"/>
        <v>X</v>
      </c>
      <c r="Y29" s="43" t="str">
        <f t="shared" si="5"/>
        <v/>
      </c>
      <c r="Z29" s="43" t="str">
        <f t="shared" si="5"/>
        <v/>
      </c>
      <c r="AA29" s="43" t="str">
        <f t="shared" si="5"/>
        <v/>
      </c>
      <c r="AB29" s="43" t="str">
        <f t="shared" si="5"/>
        <v/>
      </c>
      <c r="AC29" s="43" t="str">
        <f t="shared" si="5"/>
        <v/>
      </c>
      <c r="AD29" s="43" t="str">
        <f t="shared" si="5"/>
        <v/>
      </c>
      <c r="AE29" s="43" t="str">
        <f t="shared" si="9"/>
        <v/>
      </c>
      <c r="AF29" s="43" t="str">
        <f t="shared" si="9"/>
        <v/>
      </c>
      <c r="AG29" s="43" t="str">
        <f t="shared" si="9"/>
        <v/>
      </c>
      <c r="AH29" s="43" t="str">
        <f t="shared" si="9"/>
        <v/>
      </c>
      <c r="AI29" s="43" t="str">
        <f t="shared" si="9"/>
        <v/>
      </c>
      <c r="AJ29" s="43" t="str">
        <f t="shared" si="9"/>
        <v/>
      </c>
      <c r="AK29" s="43" t="str">
        <f t="shared" si="9"/>
        <v/>
      </c>
      <c r="AL29" s="43" t="str">
        <f t="shared" si="9"/>
        <v/>
      </c>
      <c r="AM29" s="43" t="str">
        <f t="shared" si="9"/>
        <v/>
      </c>
      <c r="AN29" s="43" t="str">
        <f t="shared" si="9"/>
        <v/>
      </c>
      <c r="AO29" s="43" t="str">
        <f t="shared" si="9"/>
        <v/>
      </c>
      <c r="AP29" s="43" t="str">
        <f t="shared" si="9"/>
        <v/>
      </c>
      <c r="AQ29" s="43" t="str">
        <f t="shared" si="9"/>
        <v/>
      </c>
      <c r="AR29" s="43" t="str">
        <f t="shared" si="9"/>
        <v/>
      </c>
      <c r="AS29" s="43" t="str">
        <f t="shared" si="9"/>
        <v/>
      </c>
      <c r="AT29" s="43" t="str">
        <f t="shared" si="9"/>
        <v/>
      </c>
      <c r="AU29" s="43" t="str">
        <f t="shared" si="8"/>
        <v/>
      </c>
      <c r="AV29" s="43" t="str">
        <f t="shared" si="8"/>
        <v/>
      </c>
      <c r="AW29" s="43" t="str">
        <f t="shared" si="8"/>
        <v/>
      </c>
      <c r="AX29" s="43" t="str">
        <f t="shared" si="8"/>
        <v/>
      </c>
      <c r="AY29" s="43" t="str">
        <f t="shared" si="8"/>
        <v/>
      </c>
      <c r="AZ29" s="43" t="str">
        <f t="shared" si="6"/>
        <v/>
      </c>
      <c r="BA29" s="43" t="str">
        <f t="shared" si="6"/>
        <v/>
      </c>
      <c r="BB29" s="43" t="str">
        <f t="shared" si="6"/>
        <v/>
      </c>
      <c r="BC29" s="43" t="str">
        <f t="shared" si="6"/>
        <v/>
      </c>
    </row>
    <row r="30" spans="1:55">
      <c r="A30" s="40" t="s">
        <v>174</v>
      </c>
      <c r="B30" s="40" t="s">
        <v>175</v>
      </c>
      <c r="C30" s="42">
        <v>43909</v>
      </c>
      <c r="D30" s="43" t="str">
        <f t="shared" si="7"/>
        <v/>
      </c>
      <c r="E30" s="43" t="str">
        <f t="shared" si="7"/>
        <v/>
      </c>
      <c r="F30" s="43" t="str">
        <f t="shared" si="7"/>
        <v/>
      </c>
      <c r="G30" s="43" t="str">
        <f t="shared" si="7"/>
        <v/>
      </c>
      <c r="H30" s="43" t="str">
        <f t="shared" si="7"/>
        <v/>
      </c>
      <c r="I30" s="43" t="str">
        <f t="shared" si="7"/>
        <v/>
      </c>
      <c r="J30" s="43" t="str">
        <f t="shared" si="7"/>
        <v/>
      </c>
      <c r="K30" s="43" t="str">
        <f t="shared" si="7"/>
        <v/>
      </c>
      <c r="L30" s="43" t="str">
        <f t="shared" si="7"/>
        <v/>
      </c>
      <c r="M30" s="43" t="str">
        <f t="shared" si="7"/>
        <v/>
      </c>
      <c r="N30" s="43" t="str">
        <f t="shared" si="7"/>
        <v/>
      </c>
      <c r="O30" s="43" t="str">
        <f t="shared" si="7"/>
        <v>X</v>
      </c>
      <c r="P30" s="43" t="str">
        <f t="shared" si="7"/>
        <v/>
      </c>
      <c r="Q30" s="43" t="str">
        <f t="shared" si="7"/>
        <v/>
      </c>
      <c r="R30" s="43" t="str">
        <f t="shared" si="7"/>
        <v/>
      </c>
      <c r="S30" s="43" t="str">
        <f t="shared" si="7"/>
        <v/>
      </c>
      <c r="T30" s="43" t="str">
        <f t="shared" si="5"/>
        <v/>
      </c>
      <c r="U30" s="43" t="str">
        <f t="shared" si="5"/>
        <v/>
      </c>
      <c r="V30" s="43" t="str">
        <f t="shared" si="5"/>
        <v/>
      </c>
      <c r="W30" s="43" t="str">
        <f t="shared" si="5"/>
        <v/>
      </c>
      <c r="X30" s="43" t="str">
        <f t="shared" si="5"/>
        <v/>
      </c>
      <c r="Y30" s="43" t="str">
        <f t="shared" si="5"/>
        <v/>
      </c>
      <c r="Z30" s="43" t="str">
        <f t="shared" si="5"/>
        <v/>
      </c>
      <c r="AA30" s="43" t="str">
        <f t="shared" si="5"/>
        <v/>
      </c>
      <c r="AB30" s="43" t="str">
        <f t="shared" si="5"/>
        <v/>
      </c>
      <c r="AC30" s="43" t="str">
        <f t="shared" si="5"/>
        <v/>
      </c>
      <c r="AD30" s="43" t="str">
        <f t="shared" si="5"/>
        <v/>
      </c>
      <c r="AE30" s="43" t="str">
        <f t="shared" si="9"/>
        <v/>
      </c>
      <c r="AF30" s="43" t="str">
        <f t="shared" si="9"/>
        <v/>
      </c>
      <c r="AG30" s="43" t="str">
        <f t="shared" si="9"/>
        <v/>
      </c>
      <c r="AH30" s="43" t="str">
        <f t="shared" si="9"/>
        <v/>
      </c>
      <c r="AI30" s="43" t="str">
        <f t="shared" si="9"/>
        <v/>
      </c>
      <c r="AJ30" s="43" t="str">
        <f t="shared" si="9"/>
        <v/>
      </c>
      <c r="AK30" s="43" t="str">
        <f t="shared" si="9"/>
        <v/>
      </c>
      <c r="AL30" s="43" t="str">
        <f t="shared" si="9"/>
        <v/>
      </c>
      <c r="AM30" s="43" t="str">
        <f t="shared" si="9"/>
        <v/>
      </c>
      <c r="AN30" s="43" t="str">
        <f t="shared" si="9"/>
        <v/>
      </c>
      <c r="AO30" s="43" t="str">
        <f t="shared" si="9"/>
        <v/>
      </c>
      <c r="AP30" s="43" t="str">
        <f t="shared" si="9"/>
        <v/>
      </c>
      <c r="AQ30" s="43" t="str">
        <f t="shared" si="9"/>
        <v/>
      </c>
      <c r="AR30" s="43" t="str">
        <f t="shared" si="9"/>
        <v/>
      </c>
      <c r="AS30" s="43" t="str">
        <f t="shared" si="9"/>
        <v/>
      </c>
      <c r="AT30" s="43" t="str">
        <f t="shared" si="9"/>
        <v/>
      </c>
      <c r="AU30" s="43" t="str">
        <f t="shared" si="8"/>
        <v/>
      </c>
      <c r="AV30" s="43" t="str">
        <f t="shared" si="8"/>
        <v/>
      </c>
      <c r="AW30" s="43" t="str">
        <f t="shared" si="8"/>
        <v/>
      </c>
      <c r="AX30" s="43" t="str">
        <f t="shared" si="8"/>
        <v/>
      </c>
      <c r="AY30" s="43" t="str">
        <f t="shared" si="8"/>
        <v/>
      </c>
      <c r="AZ30" s="43" t="str">
        <f t="shared" si="6"/>
        <v/>
      </c>
      <c r="BA30" s="43" t="str">
        <f t="shared" si="6"/>
        <v/>
      </c>
      <c r="BB30" s="43" t="str">
        <f t="shared" si="6"/>
        <v/>
      </c>
      <c r="BC30" s="43" t="str">
        <f t="shared" si="6"/>
        <v/>
      </c>
    </row>
    <row r="31" spans="1:55">
      <c r="A31" s="40" t="s">
        <v>176</v>
      </c>
      <c r="B31" s="40" t="s">
        <v>177</v>
      </c>
      <c r="C31" s="42">
        <v>44008</v>
      </c>
      <c r="D31" s="43" t="str">
        <f t="shared" si="7"/>
        <v/>
      </c>
      <c r="E31" s="43" t="str">
        <f t="shared" si="7"/>
        <v/>
      </c>
      <c r="F31" s="43" t="str">
        <f t="shared" si="7"/>
        <v/>
      </c>
      <c r="G31" s="43" t="str">
        <f t="shared" si="7"/>
        <v/>
      </c>
      <c r="H31" s="43" t="str">
        <f t="shared" si="7"/>
        <v/>
      </c>
      <c r="I31" s="43" t="str">
        <f t="shared" si="7"/>
        <v/>
      </c>
      <c r="J31" s="43" t="str">
        <f t="shared" si="7"/>
        <v/>
      </c>
      <c r="K31" s="43" t="str">
        <f t="shared" si="7"/>
        <v/>
      </c>
      <c r="L31" s="43" t="str">
        <f t="shared" si="7"/>
        <v/>
      </c>
      <c r="M31" s="43" t="str">
        <f t="shared" si="7"/>
        <v/>
      </c>
      <c r="N31" s="43" t="str">
        <f t="shared" si="7"/>
        <v/>
      </c>
      <c r="O31" s="43" t="str">
        <f t="shared" si="7"/>
        <v/>
      </c>
      <c r="P31" s="43" t="str">
        <f t="shared" si="7"/>
        <v/>
      </c>
      <c r="Q31" s="43" t="str">
        <f t="shared" si="7"/>
        <v/>
      </c>
      <c r="R31" s="43" t="str">
        <f t="shared" si="7"/>
        <v/>
      </c>
      <c r="S31" s="43" t="str">
        <f t="shared" si="7"/>
        <v/>
      </c>
      <c r="T31" s="43" t="str">
        <f t="shared" si="5"/>
        <v/>
      </c>
      <c r="U31" s="43" t="str">
        <f t="shared" si="5"/>
        <v/>
      </c>
      <c r="V31" s="43" t="str">
        <f t="shared" si="5"/>
        <v/>
      </c>
      <c r="W31" s="43" t="str">
        <f t="shared" si="5"/>
        <v/>
      </c>
      <c r="X31" s="43" t="str">
        <f t="shared" si="5"/>
        <v/>
      </c>
      <c r="Y31" s="43" t="str">
        <f t="shared" si="5"/>
        <v/>
      </c>
      <c r="Z31" s="43" t="str">
        <f t="shared" si="5"/>
        <v/>
      </c>
      <c r="AA31" s="43" t="str">
        <f t="shared" si="5"/>
        <v/>
      </c>
      <c r="AB31" s="43" t="str">
        <f t="shared" si="5"/>
        <v/>
      </c>
      <c r="AC31" s="43" t="str">
        <f t="shared" si="5"/>
        <v>X</v>
      </c>
      <c r="AD31" s="43" t="str">
        <f t="shared" si="5"/>
        <v/>
      </c>
      <c r="AE31" s="43" t="str">
        <f t="shared" si="9"/>
        <v/>
      </c>
      <c r="AF31" s="43" t="str">
        <f t="shared" si="9"/>
        <v/>
      </c>
      <c r="AG31" s="43" t="str">
        <f t="shared" si="9"/>
        <v/>
      </c>
      <c r="AH31" s="43" t="str">
        <f t="shared" si="9"/>
        <v/>
      </c>
      <c r="AI31" s="43" t="str">
        <f t="shared" si="9"/>
        <v/>
      </c>
      <c r="AJ31" s="43" t="str">
        <f t="shared" si="9"/>
        <v/>
      </c>
      <c r="AK31" s="43" t="str">
        <f t="shared" si="9"/>
        <v/>
      </c>
      <c r="AL31" s="43" t="str">
        <f t="shared" si="9"/>
        <v/>
      </c>
      <c r="AM31" s="43" t="str">
        <f t="shared" si="9"/>
        <v/>
      </c>
      <c r="AN31" s="43" t="str">
        <f t="shared" si="9"/>
        <v/>
      </c>
      <c r="AO31" s="43" t="str">
        <f t="shared" si="9"/>
        <v/>
      </c>
      <c r="AP31" s="43" t="str">
        <f t="shared" si="9"/>
        <v/>
      </c>
      <c r="AQ31" s="43" t="str">
        <f t="shared" si="9"/>
        <v/>
      </c>
      <c r="AR31" s="43" t="str">
        <f t="shared" si="9"/>
        <v/>
      </c>
      <c r="AS31" s="43" t="str">
        <f t="shared" si="9"/>
        <v/>
      </c>
      <c r="AT31" s="43" t="str">
        <f t="shared" si="9"/>
        <v/>
      </c>
      <c r="AU31" s="43" t="str">
        <f t="shared" si="8"/>
        <v/>
      </c>
      <c r="AV31" s="43" t="str">
        <f t="shared" si="8"/>
        <v/>
      </c>
      <c r="AW31" s="43" t="str">
        <f t="shared" si="8"/>
        <v/>
      </c>
      <c r="AX31" s="43" t="str">
        <f t="shared" si="8"/>
        <v/>
      </c>
      <c r="AY31" s="43" t="str">
        <f t="shared" si="8"/>
        <v/>
      </c>
      <c r="AZ31" s="43" t="str">
        <f t="shared" si="6"/>
        <v/>
      </c>
      <c r="BA31" s="43" t="str">
        <f t="shared" si="6"/>
        <v/>
      </c>
      <c r="BB31" s="43" t="str">
        <f t="shared" si="6"/>
        <v/>
      </c>
      <c r="BC31" s="43" t="str">
        <f t="shared" si="6"/>
        <v/>
      </c>
    </row>
    <row r="32" spans="1:55">
      <c r="A32" s="40" t="s">
        <v>178</v>
      </c>
      <c r="B32" s="40" t="s">
        <v>179</v>
      </c>
      <c r="C32" s="42">
        <v>43976</v>
      </c>
      <c r="D32" s="43" t="str">
        <f t="shared" si="7"/>
        <v/>
      </c>
      <c r="E32" s="43" t="str">
        <f t="shared" si="7"/>
        <v/>
      </c>
      <c r="F32" s="43" t="str">
        <f t="shared" si="7"/>
        <v/>
      </c>
      <c r="G32" s="43" t="str">
        <f t="shared" si="7"/>
        <v/>
      </c>
      <c r="H32" s="43" t="str">
        <f t="shared" si="7"/>
        <v/>
      </c>
      <c r="I32" s="43" t="str">
        <f t="shared" si="7"/>
        <v/>
      </c>
      <c r="J32" s="43" t="str">
        <f t="shared" si="7"/>
        <v/>
      </c>
      <c r="K32" s="43" t="str">
        <f t="shared" si="7"/>
        <v/>
      </c>
      <c r="L32" s="43" t="str">
        <f t="shared" si="7"/>
        <v/>
      </c>
      <c r="M32" s="43" t="str">
        <f t="shared" si="7"/>
        <v/>
      </c>
      <c r="N32" s="43" t="str">
        <f t="shared" si="7"/>
        <v/>
      </c>
      <c r="O32" s="43" t="str">
        <f t="shared" si="7"/>
        <v/>
      </c>
      <c r="P32" s="43" t="str">
        <f t="shared" si="7"/>
        <v/>
      </c>
      <c r="Q32" s="43" t="str">
        <f t="shared" si="7"/>
        <v/>
      </c>
      <c r="R32" s="43" t="str">
        <f t="shared" si="7"/>
        <v/>
      </c>
      <c r="S32" s="43" t="str">
        <f t="shared" si="7"/>
        <v/>
      </c>
      <c r="T32" s="43" t="str">
        <f t="shared" si="5"/>
        <v/>
      </c>
      <c r="U32" s="43" t="str">
        <f t="shared" si="5"/>
        <v/>
      </c>
      <c r="V32" s="43" t="str">
        <f t="shared" si="5"/>
        <v/>
      </c>
      <c r="W32" s="43" t="str">
        <f t="shared" si="5"/>
        <v/>
      </c>
      <c r="X32" s="43" t="str">
        <f t="shared" si="5"/>
        <v/>
      </c>
      <c r="Y32" s="43" t="str">
        <f t="shared" si="5"/>
        <v>X</v>
      </c>
      <c r="Z32" s="43" t="str">
        <f t="shared" si="5"/>
        <v/>
      </c>
      <c r="AA32" s="43" t="str">
        <f t="shared" si="5"/>
        <v/>
      </c>
      <c r="AB32" s="43" t="str">
        <f t="shared" si="5"/>
        <v/>
      </c>
      <c r="AC32" s="43" t="str">
        <f t="shared" si="5"/>
        <v/>
      </c>
      <c r="AD32" s="43" t="str">
        <f t="shared" si="5"/>
        <v/>
      </c>
      <c r="AE32" s="43" t="str">
        <f t="shared" si="9"/>
        <v/>
      </c>
      <c r="AF32" s="43" t="str">
        <f t="shared" si="9"/>
        <v/>
      </c>
      <c r="AG32" s="43" t="str">
        <f t="shared" si="9"/>
        <v/>
      </c>
      <c r="AH32" s="43" t="str">
        <f t="shared" si="9"/>
        <v/>
      </c>
      <c r="AI32" s="43" t="str">
        <f t="shared" si="9"/>
        <v/>
      </c>
      <c r="AJ32" s="43" t="str">
        <f t="shared" si="9"/>
        <v/>
      </c>
      <c r="AK32" s="43" t="str">
        <f t="shared" si="9"/>
        <v/>
      </c>
      <c r="AL32" s="43" t="str">
        <f t="shared" si="9"/>
        <v/>
      </c>
      <c r="AM32" s="43" t="str">
        <f t="shared" si="9"/>
        <v/>
      </c>
      <c r="AN32" s="43" t="str">
        <f t="shared" si="9"/>
        <v/>
      </c>
      <c r="AO32" s="43" t="str">
        <f t="shared" si="9"/>
        <v/>
      </c>
      <c r="AP32" s="43" t="str">
        <f t="shared" si="9"/>
        <v/>
      </c>
      <c r="AQ32" s="43" t="str">
        <f t="shared" si="9"/>
        <v/>
      </c>
      <c r="AR32" s="43" t="str">
        <f t="shared" si="9"/>
        <v/>
      </c>
      <c r="AS32" s="43" t="str">
        <f t="shared" si="9"/>
        <v/>
      </c>
      <c r="AT32" s="43" t="str">
        <f t="shared" si="9"/>
        <v/>
      </c>
      <c r="AU32" s="43" t="str">
        <f t="shared" si="8"/>
        <v/>
      </c>
      <c r="AV32" s="43" t="str">
        <f t="shared" si="8"/>
        <v/>
      </c>
      <c r="AW32" s="43" t="str">
        <f t="shared" si="8"/>
        <v/>
      </c>
      <c r="AX32" s="43" t="str">
        <f t="shared" si="8"/>
        <v/>
      </c>
      <c r="AY32" s="43" t="str">
        <f t="shared" si="8"/>
        <v/>
      </c>
      <c r="AZ32" s="43" t="str">
        <f t="shared" si="6"/>
        <v/>
      </c>
      <c r="BA32" s="43" t="str">
        <f t="shared" si="6"/>
        <v/>
      </c>
      <c r="BB32" s="43" t="str">
        <f t="shared" si="6"/>
        <v/>
      </c>
      <c r="BC32" s="43" t="str">
        <f t="shared" si="6"/>
        <v/>
      </c>
    </row>
    <row r="33" spans="1:55">
      <c r="A33" s="40" t="s">
        <v>180</v>
      </c>
      <c r="B33" s="40" t="s">
        <v>181</v>
      </c>
      <c r="C33" s="42">
        <v>43955</v>
      </c>
      <c r="D33" s="43" t="str">
        <f t="shared" si="7"/>
        <v/>
      </c>
      <c r="E33" s="43" t="str">
        <f t="shared" si="7"/>
        <v/>
      </c>
      <c r="F33" s="43" t="str">
        <f t="shared" si="7"/>
        <v/>
      </c>
      <c r="G33" s="43" t="str">
        <f t="shared" si="7"/>
        <v/>
      </c>
      <c r="H33" s="43" t="str">
        <f t="shared" si="7"/>
        <v/>
      </c>
      <c r="I33" s="43" t="str">
        <f t="shared" si="7"/>
        <v/>
      </c>
      <c r="J33" s="43" t="str">
        <f t="shared" si="7"/>
        <v/>
      </c>
      <c r="K33" s="43" t="str">
        <f t="shared" si="7"/>
        <v/>
      </c>
      <c r="L33" s="43" t="str">
        <f t="shared" si="7"/>
        <v/>
      </c>
      <c r="M33" s="43" t="str">
        <f t="shared" si="7"/>
        <v/>
      </c>
      <c r="N33" s="43" t="str">
        <f t="shared" si="7"/>
        <v/>
      </c>
      <c r="O33" s="43" t="str">
        <f t="shared" si="7"/>
        <v/>
      </c>
      <c r="P33" s="43" t="str">
        <f t="shared" si="7"/>
        <v/>
      </c>
      <c r="Q33" s="43" t="str">
        <f t="shared" si="7"/>
        <v/>
      </c>
      <c r="R33" s="43" t="str">
        <f t="shared" si="7"/>
        <v/>
      </c>
      <c r="S33" s="43" t="str">
        <f t="shared" si="7"/>
        <v/>
      </c>
      <c r="T33" s="43" t="str">
        <f t="shared" si="5"/>
        <v/>
      </c>
      <c r="U33" s="43" t="str">
        <f t="shared" si="5"/>
        <v/>
      </c>
      <c r="V33" s="43" t="str">
        <f t="shared" si="5"/>
        <v>X</v>
      </c>
      <c r="W33" s="43" t="str">
        <f t="shared" si="5"/>
        <v/>
      </c>
      <c r="X33" s="43" t="str">
        <f t="shared" si="5"/>
        <v/>
      </c>
      <c r="Y33" s="43" t="str">
        <f t="shared" si="5"/>
        <v/>
      </c>
      <c r="Z33" s="43" t="str">
        <f t="shared" si="5"/>
        <v/>
      </c>
      <c r="AA33" s="43" t="str">
        <f t="shared" si="5"/>
        <v/>
      </c>
      <c r="AB33" s="43" t="str">
        <f t="shared" si="5"/>
        <v/>
      </c>
      <c r="AC33" s="43" t="str">
        <f t="shared" si="5"/>
        <v/>
      </c>
      <c r="AD33" s="43" t="str">
        <f t="shared" si="5"/>
        <v/>
      </c>
      <c r="AE33" s="43" t="str">
        <f t="shared" si="9"/>
        <v/>
      </c>
      <c r="AF33" s="43" t="str">
        <f t="shared" si="9"/>
        <v/>
      </c>
      <c r="AG33" s="43" t="str">
        <f t="shared" si="9"/>
        <v/>
      </c>
      <c r="AH33" s="43" t="str">
        <f t="shared" si="9"/>
        <v/>
      </c>
      <c r="AI33" s="43" t="str">
        <f t="shared" si="9"/>
        <v/>
      </c>
      <c r="AJ33" s="43" t="str">
        <f t="shared" si="9"/>
        <v/>
      </c>
      <c r="AK33" s="43" t="str">
        <f t="shared" si="9"/>
        <v/>
      </c>
      <c r="AL33" s="43" t="str">
        <f t="shared" si="9"/>
        <v/>
      </c>
      <c r="AM33" s="43" t="str">
        <f t="shared" si="9"/>
        <v/>
      </c>
      <c r="AN33" s="43" t="str">
        <f t="shared" si="9"/>
        <v/>
      </c>
      <c r="AO33" s="43" t="str">
        <f t="shared" si="9"/>
        <v/>
      </c>
      <c r="AP33" s="43" t="str">
        <f t="shared" si="9"/>
        <v/>
      </c>
      <c r="AQ33" s="43" t="str">
        <f t="shared" si="9"/>
        <v/>
      </c>
      <c r="AR33" s="43" t="str">
        <f t="shared" si="9"/>
        <v/>
      </c>
      <c r="AS33" s="43" t="str">
        <f t="shared" si="9"/>
        <v/>
      </c>
      <c r="AT33" s="43" t="str">
        <f t="shared" si="9"/>
        <v/>
      </c>
      <c r="AU33" s="43" t="str">
        <f t="shared" si="8"/>
        <v/>
      </c>
      <c r="AV33" s="43" t="str">
        <f t="shared" si="8"/>
        <v/>
      </c>
      <c r="AW33" s="43" t="str">
        <f t="shared" si="8"/>
        <v/>
      </c>
      <c r="AX33" s="43" t="str">
        <f t="shared" si="8"/>
        <v/>
      </c>
      <c r="AY33" s="43" t="str">
        <f t="shared" si="8"/>
        <v/>
      </c>
      <c r="AZ33" s="43" t="str">
        <f t="shared" si="6"/>
        <v/>
      </c>
      <c r="BA33" s="43" t="str">
        <f t="shared" si="6"/>
        <v/>
      </c>
      <c r="BB33" s="43" t="str">
        <f t="shared" si="6"/>
        <v/>
      </c>
      <c r="BC33" s="43" t="str">
        <f t="shared" si="6"/>
        <v/>
      </c>
    </row>
    <row r="35" spans="1:55">
      <c r="B35" s="42">
        <v>43831</v>
      </c>
      <c r="C35" s="42">
        <v>43891</v>
      </c>
    </row>
  </sheetData>
  <conditionalFormatting sqref="D3:BC33">
    <cfRule type="cellIs" dxfId="4" priority="1" operator="equal">
      <formula>"X"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3:G14"/>
  <sheetViews>
    <sheetView workbookViewId="0">
      <selection activeCell="G3" sqref="G3"/>
    </sheetView>
  </sheetViews>
  <sheetFormatPr defaultRowHeight="15"/>
  <cols>
    <col min="1" max="1" width="19.5703125" bestFit="1" customWidth="1"/>
    <col min="2" max="2" width="11.140625" bestFit="1" customWidth="1"/>
    <col min="4" max="4" width="11.140625" bestFit="1" customWidth="1"/>
  </cols>
  <sheetData>
    <row r="3" spans="2:7">
      <c r="G3" t="s">
        <v>94</v>
      </c>
    </row>
    <row r="4" spans="2:7" ht="17.25" customHeight="1">
      <c r="B4" s="8"/>
    </row>
    <row r="5" spans="2:7">
      <c r="B5" s="8"/>
    </row>
    <row r="6" spans="2:7" hidden="1">
      <c r="B6" s="8"/>
    </row>
    <row r="7" spans="2:7" collapsed="1">
      <c r="B7" s="8"/>
      <c r="C7" s="7"/>
      <c r="D7" s="8"/>
    </row>
    <row r="8" spans="2:7" hidden="1">
      <c r="B8" s="8"/>
      <c r="C8" s="7"/>
      <c r="D8" s="8"/>
    </row>
    <row r="9" spans="2:7" collapsed="1">
      <c r="B9" s="8"/>
    </row>
    <row r="14" spans="2:7">
      <c r="B14" s="8"/>
    </row>
  </sheetData>
  <dataConsolidate leftLabels="1" link="1">
    <dataRefs count="3">
      <dataRef ref="C1:I1" sheet="FC_AYCİCEK"/>
      <dataRef ref="C1:I1" sheet="FC_GIDA"/>
      <dataRef ref="C1:I1" sheet="FC_SUT"/>
    </dataRefs>
  </dataConsolid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I17"/>
  <sheetViews>
    <sheetView workbookViewId="0">
      <selection activeCell="A2" sqref="A2:I17"/>
    </sheetView>
  </sheetViews>
  <sheetFormatPr defaultRowHeight="15"/>
  <cols>
    <col min="1" max="1" width="12.140625" bestFit="1" customWidth="1"/>
    <col min="2" max="2" width="28.28515625" bestFit="1" customWidth="1"/>
    <col min="3" max="3" width="16.5703125" bestFit="1" customWidth="1"/>
    <col min="4" max="4" width="13.28515625" bestFit="1" customWidth="1"/>
    <col min="5" max="5" width="6.85546875" bestFit="1" customWidth="1"/>
    <col min="6" max="6" width="11" bestFit="1" customWidth="1"/>
    <col min="7" max="7" width="5.28515625" bestFit="1" customWidth="1"/>
    <col min="8" max="8" width="7" bestFit="1" customWidth="1"/>
    <col min="9" max="9" width="9.5703125" bestFit="1" customWidth="1"/>
  </cols>
  <sheetData>
    <row r="1" spans="1:9">
      <c r="C1" t="s">
        <v>89</v>
      </c>
      <c r="D1" s="8">
        <f>SUM(I3:I200)</f>
        <v>339.71699999999998</v>
      </c>
    </row>
    <row r="2" spans="1:9">
      <c r="A2" s="1" t="s">
        <v>0</v>
      </c>
      <c r="B2" s="2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3" t="s">
        <v>26</v>
      </c>
      <c r="B3" s="4" t="s">
        <v>27</v>
      </c>
      <c r="C3" s="3" t="s">
        <v>28</v>
      </c>
      <c r="D3" s="3" t="s">
        <v>29</v>
      </c>
      <c r="E3" s="3" t="s">
        <v>13</v>
      </c>
      <c r="F3" s="3">
        <v>0.01</v>
      </c>
      <c r="G3" s="3">
        <v>10</v>
      </c>
      <c r="H3" s="5">
        <v>1.2</v>
      </c>
      <c r="I3" s="6">
        <f>G3*H3*(1+F3)</f>
        <v>12.120000000000001</v>
      </c>
    </row>
    <row r="4" spans="1:9">
      <c r="A4" s="3" t="s">
        <v>30</v>
      </c>
      <c r="B4" s="4" t="s">
        <v>31</v>
      </c>
      <c r="C4" s="3" t="s">
        <v>28</v>
      </c>
      <c r="D4" s="3" t="s">
        <v>29</v>
      </c>
      <c r="E4" s="3" t="s">
        <v>13</v>
      </c>
      <c r="F4" s="3">
        <v>0.08</v>
      </c>
      <c r="G4" s="3">
        <v>18</v>
      </c>
      <c r="H4" s="5">
        <v>1.1000000000000001</v>
      </c>
      <c r="I4" s="6">
        <f>G4*H4*(1+F4)</f>
        <v>21.384000000000004</v>
      </c>
    </row>
    <row r="5" spans="1:9">
      <c r="A5" s="3" t="s">
        <v>32</v>
      </c>
      <c r="B5" s="4" t="s">
        <v>33</v>
      </c>
      <c r="C5" s="3" t="s">
        <v>28</v>
      </c>
      <c r="D5" s="3" t="s">
        <v>29</v>
      </c>
      <c r="E5" s="3" t="s">
        <v>13</v>
      </c>
      <c r="F5" s="3">
        <v>0.08</v>
      </c>
      <c r="G5" s="3">
        <v>15</v>
      </c>
      <c r="H5" s="5">
        <v>1.1000000000000001</v>
      </c>
      <c r="I5" s="6">
        <f>G5*H5*(1+F5)</f>
        <v>17.82</v>
      </c>
    </row>
    <row r="6" spans="1:9">
      <c r="A6" s="3" t="s">
        <v>34</v>
      </c>
      <c r="B6" s="4" t="s">
        <v>35</v>
      </c>
      <c r="C6" s="3" t="s">
        <v>28</v>
      </c>
      <c r="D6" s="3" t="s">
        <v>29</v>
      </c>
      <c r="E6" s="3" t="s">
        <v>13</v>
      </c>
      <c r="F6" s="3">
        <v>0.08</v>
      </c>
      <c r="G6" s="3">
        <v>17</v>
      </c>
      <c r="H6" s="5">
        <v>1.5</v>
      </c>
      <c r="I6" s="6">
        <f>G6*H6*(1+F6)</f>
        <v>27.540000000000003</v>
      </c>
    </row>
    <row r="7" spans="1:9">
      <c r="A7" s="3" t="s">
        <v>36</v>
      </c>
      <c r="B7" s="4" t="s">
        <v>37</v>
      </c>
      <c r="C7" s="3" t="s">
        <v>28</v>
      </c>
      <c r="D7" s="3" t="s">
        <v>29</v>
      </c>
      <c r="E7" s="3" t="s">
        <v>13</v>
      </c>
      <c r="F7" s="3">
        <v>0.01</v>
      </c>
      <c r="G7" s="3">
        <v>11</v>
      </c>
      <c r="H7" s="5">
        <v>1.5</v>
      </c>
      <c r="I7" s="6">
        <f>G7*H7*(1+F7)</f>
        <v>16.664999999999999</v>
      </c>
    </row>
    <row r="8" spans="1:9">
      <c r="A8" s="3" t="s">
        <v>38</v>
      </c>
      <c r="B8" s="4" t="s">
        <v>39</v>
      </c>
      <c r="C8" s="3" t="s">
        <v>28</v>
      </c>
      <c r="D8" s="3" t="s">
        <v>29</v>
      </c>
      <c r="E8" s="3" t="s">
        <v>13</v>
      </c>
      <c r="F8" s="3">
        <v>0.08</v>
      </c>
      <c r="G8" s="3">
        <v>2</v>
      </c>
      <c r="H8" s="5">
        <v>1.1000000000000001</v>
      </c>
      <c r="I8" s="6">
        <f>G8*H8*(1+F8)</f>
        <v>2.3760000000000003</v>
      </c>
    </row>
    <row r="9" spans="1:9">
      <c r="A9" s="3" t="s">
        <v>40</v>
      </c>
      <c r="B9" s="4" t="s">
        <v>41</v>
      </c>
      <c r="C9" s="3" t="s">
        <v>28</v>
      </c>
      <c r="D9" s="3" t="s">
        <v>29</v>
      </c>
      <c r="E9" s="3" t="s">
        <v>13</v>
      </c>
      <c r="F9" s="3">
        <v>0.08</v>
      </c>
      <c r="G9" s="3">
        <v>12</v>
      </c>
      <c r="H9" s="5">
        <v>1.2</v>
      </c>
      <c r="I9" s="6">
        <f>G9*H9*(1+F9)</f>
        <v>15.552</v>
      </c>
    </row>
    <row r="10" spans="1:9">
      <c r="A10" s="3" t="s">
        <v>42</v>
      </c>
      <c r="B10" s="4" t="s">
        <v>43</v>
      </c>
      <c r="C10" s="3" t="s">
        <v>28</v>
      </c>
      <c r="D10" s="3" t="s">
        <v>29</v>
      </c>
      <c r="E10" s="3" t="s">
        <v>13</v>
      </c>
      <c r="F10" s="3">
        <v>0.08</v>
      </c>
      <c r="G10" s="3">
        <v>8</v>
      </c>
      <c r="H10" s="5">
        <v>1</v>
      </c>
      <c r="I10" s="6">
        <f>G10*H10*(1+F10)</f>
        <v>8.64</v>
      </c>
    </row>
    <row r="11" spans="1:9">
      <c r="A11" s="3" t="s">
        <v>44</v>
      </c>
      <c r="B11" s="4" t="s">
        <v>45</v>
      </c>
      <c r="C11" s="3" t="s">
        <v>28</v>
      </c>
      <c r="D11" s="3" t="s">
        <v>29</v>
      </c>
      <c r="E11" s="3" t="s">
        <v>13</v>
      </c>
      <c r="F11" s="3">
        <v>0.08</v>
      </c>
      <c r="G11" s="3">
        <v>20</v>
      </c>
      <c r="H11" s="5">
        <v>1</v>
      </c>
      <c r="I11" s="6">
        <f>G11*H11*(1+F11)</f>
        <v>21.6</v>
      </c>
    </row>
    <row r="12" spans="1:9">
      <c r="A12" s="3" t="s">
        <v>46</v>
      </c>
      <c r="B12" s="4" t="s">
        <v>47</v>
      </c>
      <c r="C12" s="3" t="s">
        <v>28</v>
      </c>
      <c r="D12" s="3" t="s">
        <v>12</v>
      </c>
      <c r="E12" s="3" t="s">
        <v>13</v>
      </c>
      <c r="F12" s="3">
        <v>0.08</v>
      </c>
      <c r="G12" s="3">
        <v>9</v>
      </c>
      <c r="H12" s="5">
        <v>3</v>
      </c>
      <c r="I12" s="6">
        <f>G12*H12*(1+F12)</f>
        <v>29.160000000000004</v>
      </c>
    </row>
    <row r="13" spans="1:9">
      <c r="A13" s="3" t="s">
        <v>48</v>
      </c>
      <c r="B13" s="4" t="s">
        <v>49</v>
      </c>
      <c r="C13" s="3" t="s">
        <v>28</v>
      </c>
      <c r="D13" s="3" t="s">
        <v>12</v>
      </c>
      <c r="E13" s="3" t="s">
        <v>13</v>
      </c>
      <c r="F13" s="3">
        <v>0.08</v>
      </c>
      <c r="G13" s="3">
        <v>15</v>
      </c>
      <c r="H13" s="5">
        <v>3.4</v>
      </c>
      <c r="I13" s="6">
        <f>G13*H13*(1+F13)</f>
        <v>55.080000000000005</v>
      </c>
    </row>
    <row r="14" spans="1:9">
      <c r="A14" s="3" t="s">
        <v>50</v>
      </c>
      <c r="B14" s="4" t="s">
        <v>51</v>
      </c>
      <c r="C14" s="3" t="s">
        <v>28</v>
      </c>
      <c r="D14" s="3" t="s">
        <v>12</v>
      </c>
      <c r="E14" s="3" t="s">
        <v>13</v>
      </c>
      <c r="F14" s="3">
        <v>0.08</v>
      </c>
      <c r="G14" s="3">
        <v>15</v>
      </c>
      <c r="H14" s="5">
        <v>4.5</v>
      </c>
      <c r="I14" s="6">
        <f>G14*H14*(1+F14)</f>
        <v>72.900000000000006</v>
      </c>
    </row>
    <row r="15" spans="1:9">
      <c r="A15" s="3" t="s">
        <v>52</v>
      </c>
      <c r="B15" s="4" t="s">
        <v>53</v>
      </c>
      <c r="C15" s="3" t="s">
        <v>28</v>
      </c>
      <c r="D15" s="3" t="s">
        <v>12</v>
      </c>
      <c r="E15" s="3" t="s">
        <v>13</v>
      </c>
      <c r="F15" s="3">
        <v>0.08</v>
      </c>
      <c r="G15" s="3">
        <v>2</v>
      </c>
      <c r="H15" s="5">
        <v>3.5</v>
      </c>
      <c r="I15" s="6">
        <f>G15*H15*(1+F15)</f>
        <v>7.5600000000000005</v>
      </c>
    </row>
    <row r="16" spans="1:9">
      <c r="A16" s="3" t="s">
        <v>54</v>
      </c>
      <c r="B16" s="4" t="s">
        <v>55</v>
      </c>
      <c r="C16" s="3" t="s">
        <v>28</v>
      </c>
      <c r="D16" s="3" t="s">
        <v>12</v>
      </c>
      <c r="E16" s="3" t="s">
        <v>13</v>
      </c>
      <c r="F16" s="3">
        <v>0.08</v>
      </c>
      <c r="G16" s="3">
        <v>6</v>
      </c>
      <c r="H16" s="5">
        <v>1</v>
      </c>
      <c r="I16" s="6">
        <f>G16*H16*(1+F16)</f>
        <v>6.48</v>
      </c>
    </row>
    <row r="17" spans="1:9">
      <c r="A17" s="3" t="s">
        <v>56</v>
      </c>
      <c r="B17" s="4" t="s">
        <v>57</v>
      </c>
      <c r="C17" s="3" t="s">
        <v>28</v>
      </c>
      <c r="D17" s="3" t="s">
        <v>12</v>
      </c>
      <c r="E17" s="3" t="s">
        <v>13</v>
      </c>
      <c r="F17" s="3">
        <v>0.08</v>
      </c>
      <c r="G17" s="3">
        <v>10</v>
      </c>
      <c r="H17" s="5">
        <v>2.2999999999999998</v>
      </c>
      <c r="I17" s="6">
        <f>G17*H17*(1+F17)</f>
        <v>24.840000000000003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I9"/>
  <sheetViews>
    <sheetView workbookViewId="0">
      <selection activeCell="D1" sqref="D1"/>
    </sheetView>
  </sheetViews>
  <sheetFormatPr defaultRowHeight="15"/>
  <cols>
    <col min="1" max="1" width="12.140625" bestFit="1" customWidth="1"/>
    <col min="2" max="2" width="28.28515625" bestFit="1" customWidth="1"/>
    <col min="3" max="3" width="19.5703125" bestFit="1" customWidth="1"/>
    <col min="4" max="4" width="13.28515625" bestFit="1" customWidth="1"/>
    <col min="5" max="5" width="6.85546875" bestFit="1" customWidth="1"/>
    <col min="6" max="6" width="11" bestFit="1" customWidth="1"/>
    <col min="7" max="7" width="5.28515625" bestFit="1" customWidth="1"/>
    <col min="8" max="8" width="7" bestFit="1" customWidth="1"/>
    <col min="9" max="9" width="11.140625" bestFit="1" customWidth="1"/>
  </cols>
  <sheetData>
    <row r="1" spans="1:9">
      <c r="C1" t="s">
        <v>90</v>
      </c>
      <c r="D1" s="8">
        <f>SUM(I3:I200)</f>
        <v>1882.6020000000001</v>
      </c>
    </row>
    <row r="2" spans="1:9">
      <c r="A2" s="1" t="s">
        <v>0</v>
      </c>
      <c r="B2" s="2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3" t="s">
        <v>9</v>
      </c>
      <c r="B3" s="4" t="s">
        <v>10</v>
      </c>
      <c r="C3" s="3" t="s">
        <v>11</v>
      </c>
      <c r="D3" s="3" t="s">
        <v>12</v>
      </c>
      <c r="E3" s="3" t="s">
        <v>13</v>
      </c>
      <c r="F3" s="3">
        <v>0.08</v>
      </c>
      <c r="G3" s="3">
        <v>14</v>
      </c>
      <c r="H3" s="5">
        <v>20</v>
      </c>
      <c r="I3" s="6">
        <f>G3*H3*(1+F3)</f>
        <v>302.40000000000003</v>
      </c>
    </row>
    <row r="4" spans="1:9">
      <c r="A4" s="3" t="s">
        <v>14</v>
      </c>
      <c r="B4" s="4" t="s">
        <v>15</v>
      </c>
      <c r="C4" s="3" t="s">
        <v>11</v>
      </c>
      <c r="D4" s="3" t="s">
        <v>12</v>
      </c>
      <c r="E4" s="3" t="s">
        <v>13</v>
      </c>
      <c r="F4" s="3">
        <v>0.08</v>
      </c>
      <c r="G4" s="3">
        <v>3</v>
      </c>
      <c r="H4" s="5">
        <v>21</v>
      </c>
      <c r="I4" s="6">
        <f>G4*H4*(1+F4)</f>
        <v>68.040000000000006</v>
      </c>
    </row>
    <row r="5" spans="1:9">
      <c r="A5" s="3" t="s">
        <v>16</v>
      </c>
      <c r="B5" s="4" t="s">
        <v>17</v>
      </c>
      <c r="C5" s="3" t="s">
        <v>11</v>
      </c>
      <c r="D5" s="3" t="s">
        <v>12</v>
      </c>
      <c r="E5" s="3" t="s">
        <v>13</v>
      </c>
      <c r="F5" s="3">
        <v>0.08</v>
      </c>
      <c r="G5" s="3">
        <v>7</v>
      </c>
      <c r="H5" s="5">
        <v>44</v>
      </c>
      <c r="I5" s="6">
        <f>G5*H5*(1+F5)</f>
        <v>332.64000000000004</v>
      </c>
    </row>
    <row r="6" spans="1:9">
      <c r="A6" s="3" t="s">
        <v>18</v>
      </c>
      <c r="B6" s="4" t="s">
        <v>19</v>
      </c>
      <c r="C6" s="3" t="s">
        <v>11</v>
      </c>
      <c r="D6" s="3" t="s">
        <v>12</v>
      </c>
      <c r="E6" s="3" t="s">
        <v>13</v>
      </c>
      <c r="F6" s="3">
        <v>0.08</v>
      </c>
      <c r="G6" s="3">
        <v>13</v>
      </c>
      <c r="H6" s="5">
        <v>67</v>
      </c>
      <c r="I6" s="6">
        <f>G6*H6*(1+F6)</f>
        <v>940.68000000000006</v>
      </c>
    </row>
    <row r="7" spans="1:9">
      <c r="A7" s="3" t="s">
        <v>20</v>
      </c>
      <c r="B7" s="4" t="s">
        <v>21</v>
      </c>
      <c r="C7" s="3" t="s">
        <v>11</v>
      </c>
      <c r="D7" s="3" t="s">
        <v>12</v>
      </c>
      <c r="E7" s="3" t="s">
        <v>13</v>
      </c>
      <c r="F7" s="3">
        <v>0.08</v>
      </c>
      <c r="G7" s="3">
        <v>6</v>
      </c>
      <c r="H7" s="5">
        <v>3.4</v>
      </c>
      <c r="I7" s="6">
        <f>G7*H7*(1+F7)</f>
        <v>22.032</v>
      </c>
    </row>
    <row r="8" spans="1:9">
      <c r="A8" s="3" t="s">
        <v>22</v>
      </c>
      <c r="B8" s="4" t="s">
        <v>23</v>
      </c>
      <c r="C8" s="3" t="s">
        <v>11</v>
      </c>
      <c r="D8" s="3" t="s">
        <v>12</v>
      </c>
      <c r="E8" s="3" t="s">
        <v>13</v>
      </c>
      <c r="F8" s="3">
        <v>0.08</v>
      </c>
      <c r="G8" s="3">
        <v>7</v>
      </c>
      <c r="H8" s="5">
        <v>14</v>
      </c>
      <c r="I8" s="6">
        <f>G8*H8*(1+F8)</f>
        <v>105.84</v>
      </c>
    </row>
    <row r="9" spans="1:9">
      <c r="A9" s="3" t="s">
        <v>24</v>
      </c>
      <c r="B9" s="4" t="s">
        <v>25</v>
      </c>
      <c r="C9" s="3" t="s">
        <v>11</v>
      </c>
      <c r="D9" s="3" t="s">
        <v>12</v>
      </c>
      <c r="E9" s="3" t="s">
        <v>13</v>
      </c>
      <c r="F9" s="3">
        <v>0.08</v>
      </c>
      <c r="G9" s="3">
        <v>15</v>
      </c>
      <c r="H9" s="5">
        <v>6.85</v>
      </c>
      <c r="I9" s="6">
        <f>G9*H9*(1+F9)</f>
        <v>110.97000000000001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I6"/>
  <sheetViews>
    <sheetView workbookViewId="0">
      <selection activeCell="D1" sqref="D1"/>
    </sheetView>
  </sheetViews>
  <sheetFormatPr defaultRowHeight="15"/>
  <cols>
    <col min="1" max="1" width="12.140625" bestFit="1" customWidth="1"/>
    <col min="2" max="2" width="28.28515625" bestFit="1" customWidth="1"/>
    <col min="3" max="3" width="15.42578125" bestFit="1" customWidth="1"/>
    <col min="4" max="4" width="13.28515625" bestFit="1" customWidth="1"/>
    <col min="5" max="5" width="6.85546875" bestFit="1" customWidth="1"/>
    <col min="6" max="6" width="11" bestFit="1" customWidth="1"/>
    <col min="7" max="7" width="5.28515625" bestFit="1" customWidth="1"/>
    <col min="8" max="8" width="7" bestFit="1" customWidth="1"/>
    <col min="9" max="9" width="9.5703125" bestFit="1" customWidth="1"/>
  </cols>
  <sheetData>
    <row r="1" spans="1:9">
      <c r="C1" t="s">
        <v>93</v>
      </c>
      <c r="D1" s="8">
        <f>SUM(I3:I200)</f>
        <v>35.460999999999999</v>
      </c>
    </row>
    <row r="2" spans="1:9">
      <c r="A2" s="1" t="s">
        <v>0</v>
      </c>
      <c r="B2" s="2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3" t="s">
        <v>58</v>
      </c>
      <c r="B3" s="4" t="s">
        <v>59</v>
      </c>
      <c r="C3" s="3" t="s">
        <v>60</v>
      </c>
      <c r="D3" s="3" t="s">
        <v>12</v>
      </c>
      <c r="E3" s="3" t="s">
        <v>13</v>
      </c>
      <c r="F3" s="3">
        <v>0.01</v>
      </c>
      <c r="G3" s="3">
        <v>12</v>
      </c>
      <c r="H3" s="5">
        <v>0.6</v>
      </c>
      <c r="I3" s="6">
        <f>G3*H3*(1+F3)</f>
        <v>7.2719999999999994</v>
      </c>
    </row>
    <row r="4" spans="1:9">
      <c r="A4" s="3" t="s">
        <v>61</v>
      </c>
      <c r="B4" s="4" t="s">
        <v>62</v>
      </c>
      <c r="C4" s="3" t="s">
        <v>60</v>
      </c>
      <c r="D4" s="3" t="s">
        <v>12</v>
      </c>
      <c r="E4" s="3" t="s">
        <v>13</v>
      </c>
      <c r="F4" s="3">
        <v>0.01</v>
      </c>
      <c r="G4" s="3">
        <v>20</v>
      </c>
      <c r="H4" s="5">
        <v>0.7</v>
      </c>
      <c r="I4" s="6">
        <f>G4*H4*(1+F4)</f>
        <v>14.14</v>
      </c>
    </row>
    <row r="5" spans="1:9">
      <c r="A5" s="3" t="s">
        <v>63</v>
      </c>
      <c r="B5" s="4" t="s">
        <v>64</v>
      </c>
      <c r="C5" s="3" t="s">
        <v>60</v>
      </c>
      <c r="D5" s="3" t="s">
        <v>12</v>
      </c>
      <c r="E5" s="3" t="s">
        <v>13</v>
      </c>
      <c r="F5" s="3">
        <v>0.01</v>
      </c>
      <c r="G5" s="3">
        <v>10</v>
      </c>
      <c r="H5" s="5">
        <v>0.45</v>
      </c>
      <c r="I5" s="6">
        <f>G5*H5*(1+F5)</f>
        <v>4.5449999999999999</v>
      </c>
    </row>
    <row r="6" spans="1:9">
      <c r="A6" s="3" t="s">
        <v>65</v>
      </c>
      <c r="B6" s="4" t="s">
        <v>66</v>
      </c>
      <c r="C6" s="3" t="s">
        <v>60</v>
      </c>
      <c r="D6" s="3" t="s">
        <v>12</v>
      </c>
      <c r="E6" s="3" t="s">
        <v>13</v>
      </c>
      <c r="F6" s="3">
        <v>0.08</v>
      </c>
      <c r="G6" s="3">
        <v>4</v>
      </c>
      <c r="H6" s="5">
        <v>2.2000000000000002</v>
      </c>
      <c r="I6" s="6">
        <f>G6*H6*(1+F6)</f>
        <v>9.5040000000000013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I6"/>
  <sheetViews>
    <sheetView workbookViewId="0">
      <selection activeCell="D1" sqref="D1"/>
    </sheetView>
  </sheetViews>
  <sheetFormatPr defaultRowHeight="15"/>
  <cols>
    <col min="1" max="1" width="12.140625" bestFit="1" customWidth="1"/>
    <col min="2" max="2" width="28.28515625" bestFit="1" customWidth="1"/>
    <col min="3" max="3" width="19.7109375" bestFit="1" customWidth="1"/>
    <col min="4" max="4" width="13.28515625" bestFit="1" customWidth="1"/>
    <col min="5" max="5" width="6.85546875" bestFit="1" customWidth="1"/>
    <col min="6" max="6" width="11" bestFit="1" customWidth="1"/>
    <col min="7" max="7" width="5.28515625" bestFit="1" customWidth="1"/>
    <col min="8" max="8" width="7" bestFit="1" customWidth="1"/>
    <col min="9" max="9" width="9.5703125" bestFit="1" customWidth="1"/>
  </cols>
  <sheetData>
    <row r="1" spans="1:9">
      <c r="C1" t="s">
        <v>92</v>
      </c>
      <c r="D1" s="8">
        <f>SUM(I3:I200)</f>
        <v>437</v>
      </c>
    </row>
    <row r="2" spans="1:9">
      <c r="A2" s="1" t="s">
        <v>0</v>
      </c>
      <c r="B2" s="2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3" t="s">
        <v>67</v>
      </c>
      <c r="B3" s="4" t="s">
        <v>68</v>
      </c>
      <c r="C3" s="3" t="s">
        <v>69</v>
      </c>
      <c r="D3" s="3" t="s">
        <v>12</v>
      </c>
      <c r="E3" s="3" t="s">
        <v>13</v>
      </c>
      <c r="F3" s="3">
        <v>0.1</v>
      </c>
      <c r="G3" s="3">
        <v>6</v>
      </c>
      <c r="H3" s="5">
        <v>4</v>
      </c>
      <c r="I3" s="6">
        <f>G3*H3*(1+F3)</f>
        <v>26.400000000000002</v>
      </c>
    </row>
    <row r="4" spans="1:9">
      <c r="A4" s="3" t="s">
        <v>70</v>
      </c>
      <c r="B4" s="4" t="s">
        <v>71</v>
      </c>
      <c r="C4" s="3" t="s">
        <v>69</v>
      </c>
      <c r="D4" s="3" t="s">
        <v>12</v>
      </c>
      <c r="E4" s="3" t="s">
        <v>13</v>
      </c>
      <c r="F4" s="3">
        <v>0.1</v>
      </c>
      <c r="G4" s="3">
        <v>10</v>
      </c>
      <c r="H4" s="5">
        <v>15</v>
      </c>
      <c r="I4" s="6">
        <f>G4*H4*(1+F4)</f>
        <v>165</v>
      </c>
    </row>
    <row r="5" spans="1:9">
      <c r="A5" s="3" t="s">
        <v>72</v>
      </c>
      <c r="B5" s="4" t="s">
        <v>73</v>
      </c>
      <c r="C5" s="3" t="s">
        <v>69</v>
      </c>
      <c r="D5" s="3" t="s">
        <v>12</v>
      </c>
      <c r="E5" s="3" t="s">
        <v>13</v>
      </c>
      <c r="F5" s="3">
        <v>0.08</v>
      </c>
      <c r="G5" s="3">
        <v>10</v>
      </c>
      <c r="H5" s="5">
        <v>4</v>
      </c>
      <c r="I5" s="6">
        <f>G5*H5*(1+F5)</f>
        <v>43.2</v>
      </c>
    </row>
    <row r="6" spans="1:9">
      <c r="A6" s="3" t="s">
        <v>74</v>
      </c>
      <c r="B6" s="4" t="s">
        <v>75</v>
      </c>
      <c r="C6" s="3" t="s">
        <v>69</v>
      </c>
      <c r="D6" s="3" t="s">
        <v>12</v>
      </c>
      <c r="E6" s="3" t="s">
        <v>13</v>
      </c>
      <c r="F6" s="3">
        <v>0.1</v>
      </c>
      <c r="G6" s="3">
        <v>8</v>
      </c>
      <c r="H6" s="5">
        <v>23</v>
      </c>
      <c r="I6" s="6">
        <f>G6*H6*(1+F6)</f>
        <v>202.4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I8"/>
  <sheetViews>
    <sheetView workbookViewId="0">
      <selection activeCell="D1" sqref="D1"/>
    </sheetView>
  </sheetViews>
  <sheetFormatPr defaultRowHeight="15"/>
  <cols>
    <col min="1" max="1" width="12.140625" bestFit="1" customWidth="1"/>
    <col min="2" max="2" width="28.28515625" bestFit="1" customWidth="1"/>
    <col min="3" max="3" width="21.7109375" bestFit="1" customWidth="1"/>
    <col min="4" max="4" width="13.28515625" bestFit="1" customWidth="1"/>
    <col min="5" max="5" width="6.85546875" bestFit="1" customWidth="1"/>
    <col min="6" max="6" width="11" bestFit="1" customWidth="1"/>
    <col min="7" max="7" width="5.28515625" bestFit="1" customWidth="1"/>
    <col min="8" max="8" width="7" bestFit="1" customWidth="1"/>
    <col min="9" max="9" width="11.140625" bestFit="1" customWidth="1"/>
  </cols>
  <sheetData>
    <row r="1" spans="1:9">
      <c r="C1" t="s">
        <v>91</v>
      </c>
      <c r="D1" s="8">
        <f>SUM(I3:I200)</f>
        <v>2001.672</v>
      </c>
    </row>
    <row r="2" spans="1:9">
      <c r="A2" s="1" t="s">
        <v>0</v>
      </c>
      <c r="B2" s="2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3" t="s">
        <v>76</v>
      </c>
      <c r="B3" s="4" t="s">
        <v>77</v>
      </c>
      <c r="C3" s="3" t="s">
        <v>78</v>
      </c>
      <c r="D3" s="3" t="s">
        <v>12</v>
      </c>
      <c r="E3" s="3" t="s">
        <v>13</v>
      </c>
      <c r="F3" s="3">
        <v>0.08</v>
      </c>
      <c r="G3" s="3">
        <v>11</v>
      </c>
      <c r="H3" s="5">
        <v>23.4</v>
      </c>
      <c r="I3" s="6">
        <f>G3*H3*(1+F3)</f>
        <v>277.99200000000002</v>
      </c>
    </row>
    <row r="4" spans="1:9">
      <c r="A4" s="3" t="s">
        <v>79</v>
      </c>
      <c r="B4" s="4" t="s">
        <v>80</v>
      </c>
      <c r="C4" s="3" t="s">
        <v>78</v>
      </c>
      <c r="D4" s="3" t="s">
        <v>12</v>
      </c>
      <c r="E4" s="3" t="s">
        <v>13</v>
      </c>
      <c r="F4" s="3">
        <v>0.08</v>
      </c>
      <c r="G4" s="3">
        <v>8</v>
      </c>
      <c r="H4" s="5">
        <v>90</v>
      </c>
      <c r="I4" s="6">
        <f>G4*H4*(1+F4)</f>
        <v>777.6</v>
      </c>
    </row>
    <row r="5" spans="1:9">
      <c r="A5" s="3" t="s">
        <v>81</v>
      </c>
      <c r="B5" s="4" t="s">
        <v>82</v>
      </c>
      <c r="C5" s="3" t="s">
        <v>78</v>
      </c>
      <c r="D5" s="3" t="s">
        <v>12</v>
      </c>
      <c r="E5" s="3" t="s">
        <v>13</v>
      </c>
      <c r="F5" s="3">
        <v>0.08</v>
      </c>
      <c r="G5" s="3">
        <v>13</v>
      </c>
      <c r="H5" s="5">
        <v>40.9</v>
      </c>
      <c r="I5" s="6">
        <f>G5*H5*(1+F5)</f>
        <v>574.23599999999999</v>
      </c>
    </row>
    <row r="6" spans="1:9">
      <c r="A6" s="3" t="s">
        <v>83</v>
      </c>
      <c r="B6" s="4" t="s">
        <v>84</v>
      </c>
      <c r="C6" s="3" t="s">
        <v>78</v>
      </c>
      <c r="D6" s="3" t="s">
        <v>12</v>
      </c>
      <c r="E6" s="3" t="s">
        <v>13</v>
      </c>
      <c r="F6" s="3">
        <v>0.08</v>
      </c>
      <c r="G6" s="3">
        <v>11</v>
      </c>
      <c r="H6" s="5">
        <v>12.3</v>
      </c>
      <c r="I6" s="6">
        <f>G6*H6*(1+F6)</f>
        <v>146.12400000000002</v>
      </c>
    </row>
    <row r="7" spans="1:9">
      <c r="A7" s="3" t="s">
        <v>85</v>
      </c>
      <c r="B7" s="4" t="s">
        <v>86</v>
      </c>
      <c r="C7" s="3" t="s">
        <v>78</v>
      </c>
      <c r="D7" s="3" t="s">
        <v>12</v>
      </c>
      <c r="E7" s="3" t="s">
        <v>13</v>
      </c>
      <c r="F7" s="3">
        <v>0.08</v>
      </c>
      <c r="G7" s="3">
        <v>5</v>
      </c>
      <c r="H7" s="5">
        <v>23.6</v>
      </c>
      <c r="I7" s="6">
        <f>G7*H7*(1+F7)</f>
        <v>127.44000000000001</v>
      </c>
    </row>
    <row r="8" spans="1:9">
      <c r="A8" s="3" t="s">
        <v>87</v>
      </c>
      <c r="B8" s="4" t="s">
        <v>88</v>
      </c>
      <c r="C8" s="3" t="s">
        <v>78</v>
      </c>
      <c r="D8" s="3" t="s">
        <v>12</v>
      </c>
      <c r="E8" s="3" t="s">
        <v>13</v>
      </c>
      <c r="F8" s="3">
        <v>0.08</v>
      </c>
      <c r="G8" s="3">
        <v>13</v>
      </c>
      <c r="H8" s="5">
        <v>7</v>
      </c>
      <c r="I8" s="6">
        <f>G8*H8*(1+F8)</f>
        <v>98.28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7"/>
  <dimension ref="B1:D25"/>
  <sheetViews>
    <sheetView workbookViewId="0">
      <selection activeCell="C17" sqref="C17"/>
    </sheetView>
  </sheetViews>
  <sheetFormatPr defaultRowHeight="15"/>
  <cols>
    <col min="2" max="2" width="13.5703125" customWidth="1"/>
    <col min="3" max="3" width="12.42578125" bestFit="1" customWidth="1"/>
    <col min="5" max="5" width="10.28515625" bestFit="1" customWidth="1"/>
    <col min="7" max="8" width="14" customWidth="1"/>
    <col min="9" max="9" width="13.28515625" bestFit="1" customWidth="1"/>
    <col min="10" max="10" width="13.5703125" bestFit="1" customWidth="1"/>
    <col min="11" max="13" width="13.42578125" customWidth="1"/>
  </cols>
  <sheetData>
    <row r="1" spans="2:4" ht="15.75" thickBot="1"/>
    <row r="2" spans="2:4" ht="15.75" thickBot="1">
      <c r="B2" s="9" t="s">
        <v>95</v>
      </c>
      <c r="C2" s="10"/>
    </row>
    <row r="4" spans="2:4" ht="15.75" thickBot="1"/>
    <row r="5" spans="2:4">
      <c r="B5" s="11" t="s">
        <v>96</v>
      </c>
      <c r="C5" s="12">
        <v>0.12</v>
      </c>
      <c r="D5" t="s">
        <v>97</v>
      </c>
    </row>
    <row r="6" spans="2:4">
      <c r="B6" s="13" t="s">
        <v>98</v>
      </c>
      <c r="C6" s="14">
        <v>360</v>
      </c>
      <c r="D6" t="s">
        <v>99</v>
      </c>
    </row>
    <row r="7" spans="2:4">
      <c r="B7" s="13" t="s">
        <v>100</v>
      </c>
      <c r="C7" s="15">
        <v>5000000</v>
      </c>
      <c r="D7" t="s">
        <v>101</v>
      </c>
    </row>
    <row r="8" spans="2:4">
      <c r="B8" s="13" t="s">
        <v>102</v>
      </c>
      <c r="C8" s="14">
        <v>0</v>
      </c>
      <c r="D8" t="s">
        <v>103</v>
      </c>
    </row>
    <row r="9" spans="2:4">
      <c r="B9" s="13" t="s">
        <v>104</v>
      </c>
      <c r="C9" s="16">
        <f>PMT(Faiz_Oranı/12,Vade_Ay,Borç_Miktarı,0,Tip)</f>
        <v>-51430.629846275217</v>
      </c>
      <c r="D9" t="e">
        <f ca="1">+_xlfn.FORMULATEXT(Aylık_Ödeme)</f>
        <v>#NAME?</v>
      </c>
    </row>
    <row r="10" spans="2:4" hidden="1">
      <c r="B10" s="13" t="s">
        <v>105</v>
      </c>
      <c r="C10" s="14">
        <v>1</v>
      </c>
      <c r="D10" t="s">
        <v>106</v>
      </c>
    </row>
    <row r="11" spans="2:4" hidden="1">
      <c r="B11" s="13" t="s">
        <v>107</v>
      </c>
      <c r="C11" s="14">
        <v>12</v>
      </c>
      <c r="D11" t="s">
        <v>108</v>
      </c>
    </row>
    <row r="12" spans="2:4" hidden="1">
      <c r="B12" s="13" t="s">
        <v>109</v>
      </c>
      <c r="C12" s="16">
        <f>CUMIPMT(Faiz_Oranı/12,Vade_Ay,Borç_Miktarı,Başlangıç_Dönem,Bitiş_Dönem,Tip)</f>
        <v>-599023.59081914765</v>
      </c>
      <c r="D12" t="e">
        <f ca="1">+_xlfn.FORMULATEXT(Ödenen_Faiz_Tutarı)</f>
        <v>#NAME?</v>
      </c>
    </row>
    <row r="13" spans="2:4" ht="15.75" hidden="1" thickBot="1">
      <c r="B13" s="17" t="s">
        <v>110</v>
      </c>
      <c r="C13" s="18">
        <f>CUMPRINC(Faiz_Oranı/12,Vade_Ay,Borç_Miktarı,Başlangıç_Dönem,Bitiş_Dönem,Tip)</f>
        <v>-18143.967336155001</v>
      </c>
      <c r="D13" t="e">
        <f ca="1">+_xlfn.FORMULATEXT(Ödenen_Ana_Para_Tutarı)</f>
        <v>#NAME?</v>
      </c>
    </row>
    <row r="16" spans="2:4">
      <c r="B16" s="19" t="s">
        <v>96</v>
      </c>
      <c r="C16" s="19" t="s">
        <v>104</v>
      </c>
    </row>
    <row r="17" spans="2:3">
      <c r="B17" s="16"/>
      <c r="C17" s="16">
        <f>+Aylık_Ödeme</f>
        <v>-51430.629846275217</v>
      </c>
    </row>
    <row r="18" spans="2:3">
      <c r="B18" s="20">
        <f>+Faiz_Oranı</f>
        <v>0.12</v>
      </c>
      <c r="C18" s="16"/>
    </row>
    <row r="19" spans="2:3">
      <c r="B19" s="20">
        <f>+B18*(1+5/100)</f>
        <v>0.126</v>
      </c>
      <c r="C19" s="16"/>
    </row>
    <row r="20" spans="2:3">
      <c r="B20" s="20">
        <f t="shared" ref="B20:B25" si="0">+B19*(1+5/100)</f>
        <v>0.1323</v>
      </c>
      <c r="C20" s="16"/>
    </row>
    <row r="21" spans="2:3">
      <c r="B21" s="20">
        <f t="shared" si="0"/>
        <v>0.13891500000000001</v>
      </c>
      <c r="C21" s="16"/>
    </row>
    <row r="22" spans="2:3">
      <c r="B22" s="20">
        <f t="shared" si="0"/>
        <v>0.14586075000000001</v>
      </c>
      <c r="C22" s="16"/>
    </row>
    <row r="23" spans="2:3">
      <c r="B23" s="20">
        <f t="shared" si="0"/>
        <v>0.15315378750000003</v>
      </c>
      <c r="C23" s="16"/>
    </row>
    <row r="24" spans="2:3">
      <c r="B24" s="20">
        <f t="shared" si="0"/>
        <v>0.16081147687500003</v>
      </c>
      <c r="C24" s="16"/>
    </row>
    <row r="25" spans="2:3">
      <c r="B25" s="20">
        <f t="shared" si="0"/>
        <v>0.16885205071875004</v>
      </c>
      <c r="C25" s="16"/>
    </row>
  </sheetData>
  <mergeCells count="1">
    <mergeCell ref="B2:C2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B3:I26"/>
  <sheetViews>
    <sheetView workbookViewId="0">
      <selection activeCell="D19" sqref="D19:I26"/>
    </sheetView>
  </sheetViews>
  <sheetFormatPr defaultRowHeight="15"/>
  <cols>
    <col min="2" max="2" width="28.85546875" customWidth="1"/>
    <col min="3" max="3" width="12.42578125" customWidth="1"/>
    <col min="4" max="9" width="11.7109375" customWidth="1"/>
    <col min="10" max="13" width="13.42578125" customWidth="1"/>
  </cols>
  <sheetData>
    <row r="3" spans="2:4" ht="15.75" thickBot="1"/>
    <row r="4" spans="2:4" ht="15.75" thickBot="1">
      <c r="B4" s="9" t="s">
        <v>111</v>
      </c>
      <c r="C4" s="10"/>
    </row>
    <row r="6" spans="2:4" ht="15.75" thickBot="1"/>
    <row r="7" spans="2:4">
      <c r="B7" s="11" t="s">
        <v>96</v>
      </c>
      <c r="C7" s="12">
        <v>0.12</v>
      </c>
      <c r="D7" t="s">
        <v>97</v>
      </c>
    </row>
    <row r="8" spans="2:4">
      <c r="B8" s="13" t="s">
        <v>98</v>
      </c>
      <c r="C8" s="14">
        <v>360</v>
      </c>
      <c r="D8" t="s">
        <v>99</v>
      </c>
    </row>
    <row r="9" spans="2:4">
      <c r="B9" s="13" t="s">
        <v>100</v>
      </c>
      <c r="C9" s="15">
        <v>5000000</v>
      </c>
      <c r="D9" t="s">
        <v>101</v>
      </c>
    </row>
    <row r="10" spans="2:4">
      <c r="B10" s="13" t="s">
        <v>102</v>
      </c>
      <c r="C10" s="14">
        <v>0</v>
      </c>
      <c r="D10" t="s">
        <v>103</v>
      </c>
    </row>
    <row r="11" spans="2:4" ht="15.75" thickBot="1">
      <c r="B11" s="17" t="s">
        <v>104</v>
      </c>
      <c r="C11" s="21">
        <f>PMT(C7/12,C8,C9,0,C10)</f>
        <v>-51430.629846275217</v>
      </c>
    </row>
    <row r="16" spans="2:4" ht="15.75" thickBot="1"/>
    <row r="17" spans="2:9" ht="18.75">
      <c r="B17" s="22"/>
      <c r="C17" s="23" t="s">
        <v>104</v>
      </c>
      <c r="D17" s="24" t="s">
        <v>112</v>
      </c>
      <c r="E17" s="25"/>
      <c r="F17" s="25"/>
      <c r="G17" s="25"/>
      <c r="H17" s="25"/>
      <c r="I17" s="25"/>
    </row>
    <row r="18" spans="2:9" ht="15.75" thickBot="1">
      <c r="B18" s="22"/>
      <c r="C18" s="26">
        <f>+C11</f>
        <v>-51430.629846275217</v>
      </c>
      <c r="D18" s="27">
        <v>240</v>
      </c>
      <c r="E18" s="28">
        <f>+D18+24</f>
        <v>264</v>
      </c>
      <c r="F18" s="28">
        <f t="shared" ref="F18:I18" si="0">+E18+24</f>
        <v>288</v>
      </c>
      <c r="G18" s="28">
        <f t="shared" si="0"/>
        <v>312</v>
      </c>
      <c r="H18" s="28">
        <f t="shared" si="0"/>
        <v>336</v>
      </c>
      <c r="I18" s="28">
        <f t="shared" si="0"/>
        <v>360</v>
      </c>
    </row>
    <row r="19" spans="2:9" ht="15.75" thickBot="1">
      <c r="B19" s="29" t="s">
        <v>96</v>
      </c>
      <c r="C19" s="30">
        <v>0.12</v>
      </c>
      <c r="D19" s="26"/>
      <c r="E19" s="26"/>
      <c r="F19" s="26"/>
      <c r="G19" s="26"/>
      <c r="H19" s="26"/>
      <c r="I19" s="26"/>
    </row>
    <row r="20" spans="2:9" ht="15.75" thickBot="1">
      <c r="B20" s="29"/>
      <c r="C20" s="31">
        <v>0.126</v>
      </c>
      <c r="D20" s="26"/>
      <c r="E20" s="26"/>
      <c r="F20" s="26"/>
      <c r="G20" s="26"/>
      <c r="H20" s="26"/>
      <c r="I20" s="26"/>
    </row>
    <row r="21" spans="2:9" ht="15.75" thickBot="1">
      <c r="B21" s="29"/>
      <c r="C21" s="31">
        <v>0.1323</v>
      </c>
      <c r="D21" s="26"/>
      <c r="E21" s="26"/>
      <c r="F21" s="26"/>
      <c r="G21" s="26"/>
      <c r="H21" s="26"/>
      <c r="I21" s="26"/>
    </row>
    <row r="22" spans="2:9" ht="15.75" thickBot="1">
      <c r="B22" s="29"/>
      <c r="C22" s="31">
        <v>0.13891500000000001</v>
      </c>
      <c r="D22" s="26"/>
      <c r="E22" s="26"/>
      <c r="F22" s="26"/>
      <c r="G22" s="26"/>
      <c r="H22" s="26"/>
      <c r="I22" s="26"/>
    </row>
    <row r="23" spans="2:9" ht="15.75" thickBot="1">
      <c r="B23" s="29"/>
      <c r="C23" s="31">
        <v>0.14586075000000001</v>
      </c>
      <c r="D23" s="26"/>
      <c r="E23" s="26"/>
      <c r="F23" s="26"/>
      <c r="G23" s="26"/>
      <c r="H23" s="26"/>
      <c r="I23" s="26"/>
    </row>
    <row r="24" spans="2:9" ht="15.75" thickBot="1">
      <c r="B24" s="29"/>
      <c r="C24" s="31">
        <v>0.15315378750000003</v>
      </c>
      <c r="D24" s="26"/>
      <c r="E24" s="26"/>
      <c r="F24" s="26"/>
      <c r="G24" s="26"/>
      <c r="H24" s="26"/>
      <c r="I24" s="26"/>
    </row>
    <row r="25" spans="2:9" ht="15.75" thickBot="1">
      <c r="B25" s="29"/>
      <c r="C25" s="31">
        <v>0.16081147687500003</v>
      </c>
      <c r="D25" s="26"/>
      <c r="E25" s="26"/>
      <c r="F25" s="26"/>
      <c r="G25" s="26"/>
      <c r="H25" s="26"/>
      <c r="I25" s="26"/>
    </row>
    <row r="26" spans="2:9" ht="15.75" thickBot="1">
      <c r="B26" s="29"/>
      <c r="C26" s="31">
        <v>0.16885205071875004</v>
      </c>
      <c r="D26" s="26"/>
      <c r="E26" s="26"/>
      <c r="F26" s="26"/>
      <c r="G26" s="26"/>
      <c r="H26" s="26"/>
      <c r="I26" s="26"/>
    </row>
  </sheetData>
  <mergeCells count="3">
    <mergeCell ref="B4:C4"/>
    <mergeCell ref="D17:I17"/>
    <mergeCell ref="B19:B26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B1:D11"/>
  <sheetViews>
    <sheetView zoomScale="220" zoomScaleNormal="220" workbookViewId="0">
      <selection activeCell="D6" sqref="D6"/>
    </sheetView>
  </sheetViews>
  <sheetFormatPr defaultRowHeight="15"/>
  <cols>
    <col min="2" max="2" width="19.42578125" bestFit="1" customWidth="1"/>
    <col min="3" max="3" width="10.85546875" bestFit="1" customWidth="1"/>
    <col min="4" max="4" width="9.5703125" bestFit="1" customWidth="1"/>
    <col min="5" max="5" width="19.42578125" bestFit="1" customWidth="1"/>
  </cols>
  <sheetData>
    <row r="1" spans="2:4" ht="15.75" thickBot="1"/>
    <row r="2" spans="2:4">
      <c r="B2" s="11" t="s">
        <v>96</v>
      </c>
      <c r="C2" s="12">
        <v>0.12</v>
      </c>
      <c r="D2" t="s">
        <v>113</v>
      </c>
    </row>
    <row r="3" spans="2:4">
      <c r="B3" s="13" t="s">
        <v>98</v>
      </c>
      <c r="C3" s="14">
        <v>360</v>
      </c>
      <c r="D3" t="s">
        <v>114</v>
      </c>
    </row>
    <row r="4" spans="2:4">
      <c r="B4" s="13" t="s">
        <v>100</v>
      </c>
      <c r="C4" s="15">
        <v>5000000</v>
      </c>
      <c r="D4" t="s">
        <v>115</v>
      </c>
    </row>
    <row r="5" spans="2:4">
      <c r="B5" s="13" t="s">
        <v>102</v>
      </c>
      <c r="C5" s="14">
        <v>0</v>
      </c>
      <c r="D5" t="s">
        <v>116</v>
      </c>
    </row>
    <row r="6" spans="2:4" ht="15.75" thickBot="1">
      <c r="B6" s="17" t="s">
        <v>104</v>
      </c>
      <c r="C6" s="21">
        <f>PMT(faiz_oranı/12,vade,borç_miktarı,0,tip)</f>
        <v>-51430.629846275217</v>
      </c>
      <c r="D6" t="e">
        <f ca="1">_xlfn.FORMULATEXT(C6)</f>
        <v>#NAME?</v>
      </c>
    </row>
    <row r="7" spans="2:4" ht="15.75" thickBot="1"/>
    <row r="8" spans="2:4">
      <c r="B8" s="11" t="s">
        <v>117</v>
      </c>
      <c r="C8" s="32"/>
      <c r="D8" s="12"/>
    </row>
    <row r="9" spans="2:4">
      <c r="B9" s="13" t="s">
        <v>104</v>
      </c>
      <c r="C9" s="33">
        <v>50000</v>
      </c>
      <c r="D9" s="34">
        <v>25000</v>
      </c>
    </row>
    <row r="10" spans="2:4">
      <c r="B10" s="13" t="s">
        <v>118</v>
      </c>
      <c r="C10" s="35"/>
      <c r="D10" s="14"/>
    </row>
    <row r="11" spans="2:4" ht="15.75" thickBot="1">
      <c r="B11" s="17" t="s">
        <v>119</v>
      </c>
      <c r="C11" s="36">
        <v>0.11627094935275806</v>
      </c>
      <c r="D11" s="37">
        <v>4.3871135428389545E-2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>
    <outlinePr summaryBelow="0"/>
  </sheetPr>
  <dimension ref="A1:K37"/>
  <sheetViews>
    <sheetView workbookViewId="0">
      <selection sqref="A1:I37"/>
    </sheetView>
  </sheetViews>
  <sheetFormatPr defaultRowHeight="15"/>
  <cols>
    <col min="1" max="1" width="12.140625" style="3" bestFit="1" customWidth="1"/>
    <col min="2" max="2" width="28.28515625" style="3" bestFit="1" customWidth="1"/>
    <col min="3" max="3" width="12.85546875" style="3" bestFit="1" customWidth="1"/>
    <col min="4" max="4" width="13.28515625" style="3" bestFit="1" customWidth="1"/>
    <col min="5" max="5" width="7.28515625" style="3" customWidth="1"/>
    <col min="6" max="6" width="11.42578125" style="3" customWidth="1"/>
    <col min="7" max="7" width="5.28515625" style="3" customWidth="1"/>
    <col min="8" max="8" width="9.140625" style="3" customWidth="1"/>
    <col min="9" max="9" width="11.140625" style="3" bestFit="1" customWidth="1"/>
    <col min="10" max="10" width="13.42578125" style="3" customWidth="1"/>
    <col min="11" max="16384" width="9.140625" style="3"/>
  </cols>
  <sheetData>
    <row r="1" spans="1:11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8"/>
      <c r="K1" s="39" t="s">
        <v>120</v>
      </c>
    </row>
    <row r="2" spans="1:11" ht="16.5" customHeight="1">
      <c r="A2" s="3" t="s">
        <v>9</v>
      </c>
      <c r="B2" s="4" t="s">
        <v>10</v>
      </c>
      <c r="C2" s="3" t="s">
        <v>11</v>
      </c>
      <c r="D2" s="3" t="s">
        <v>12</v>
      </c>
      <c r="E2" s="3" t="s">
        <v>13</v>
      </c>
      <c r="F2" s="3">
        <v>0.08</v>
      </c>
      <c r="G2" s="3">
        <v>14</v>
      </c>
      <c r="H2" s="5">
        <v>20</v>
      </c>
      <c r="I2" s="6">
        <f>G2*H2*(1+F2)</f>
        <v>302.40000000000003</v>
      </c>
    </row>
    <row r="3" spans="1:11" ht="17.25" customHeight="1">
      <c r="A3" s="3" t="s">
        <v>14</v>
      </c>
      <c r="B3" s="4" t="s">
        <v>15</v>
      </c>
      <c r="C3" s="3" t="s">
        <v>11</v>
      </c>
      <c r="D3" s="3" t="s">
        <v>12</v>
      </c>
      <c r="E3" s="3" t="s">
        <v>13</v>
      </c>
      <c r="F3" s="3">
        <v>0.08</v>
      </c>
      <c r="G3" s="3">
        <v>3</v>
      </c>
      <c r="H3" s="5">
        <v>21</v>
      </c>
      <c r="I3" s="6">
        <f>G3*H3*(1+F3)</f>
        <v>68.040000000000006</v>
      </c>
    </row>
    <row r="4" spans="1:11">
      <c r="A4" s="3" t="s">
        <v>16</v>
      </c>
      <c r="B4" s="4" t="s">
        <v>17</v>
      </c>
      <c r="C4" s="3" t="s">
        <v>11</v>
      </c>
      <c r="D4" s="3" t="s">
        <v>12</v>
      </c>
      <c r="E4" s="3" t="s">
        <v>13</v>
      </c>
      <c r="F4" s="3">
        <v>0.08</v>
      </c>
      <c r="G4" s="3">
        <v>7</v>
      </c>
      <c r="H4" s="5">
        <v>44</v>
      </c>
      <c r="I4" s="6">
        <f>G4*H4*(1+F4)</f>
        <v>332.64000000000004</v>
      </c>
    </row>
    <row r="5" spans="1:11">
      <c r="A5" s="3" t="s">
        <v>18</v>
      </c>
      <c r="B5" s="4" t="s">
        <v>19</v>
      </c>
      <c r="C5" s="3" t="s">
        <v>11</v>
      </c>
      <c r="D5" s="3" t="s">
        <v>12</v>
      </c>
      <c r="E5" s="3" t="s">
        <v>13</v>
      </c>
      <c r="F5" s="3">
        <v>0.08</v>
      </c>
      <c r="G5" s="3">
        <v>13</v>
      </c>
      <c r="H5" s="5">
        <v>67</v>
      </c>
      <c r="I5" s="6">
        <f>G5*H5*(1+F5)</f>
        <v>940.68000000000006</v>
      </c>
    </row>
    <row r="6" spans="1:11">
      <c r="A6" s="3" t="s">
        <v>20</v>
      </c>
      <c r="B6" s="4" t="s">
        <v>21</v>
      </c>
      <c r="C6" s="3" t="s">
        <v>11</v>
      </c>
      <c r="D6" s="3" t="s">
        <v>12</v>
      </c>
      <c r="E6" s="3" t="s">
        <v>13</v>
      </c>
      <c r="F6" s="3">
        <v>0.08</v>
      </c>
      <c r="G6" s="3">
        <v>6</v>
      </c>
      <c r="H6" s="5">
        <v>3.4</v>
      </c>
      <c r="I6" s="6">
        <f>G6*H6*(1+F6)</f>
        <v>22.032</v>
      </c>
    </row>
    <row r="7" spans="1:11">
      <c r="A7" s="3" t="s">
        <v>22</v>
      </c>
      <c r="B7" s="4" t="s">
        <v>23</v>
      </c>
      <c r="C7" s="3" t="s">
        <v>11</v>
      </c>
      <c r="D7" s="3" t="s">
        <v>12</v>
      </c>
      <c r="E7" s="3" t="s">
        <v>13</v>
      </c>
      <c r="F7" s="3">
        <v>0.08</v>
      </c>
      <c r="G7" s="3">
        <v>7</v>
      </c>
      <c r="H7" s="5">
        <v>14</v>
      </c>
      <c r="I7" s="6">
        <f>G7*H7*(1+F7)</f>
        <v>105.84</v>
      </c>
    </row>
    <row r="8" spans="1:11">
      <c r="A8" s="3" t="s">
        <v>24</v>
      </c>
      <c r="B8" s="4" t="s">
        <v>25</v>
      </c>
      <c r="C8" s="3" t="s">
        <v>11</v>
      </c>
      <c r="D8" s="3" t="s">
        <v>12</v>
      </c>
      <c r="E8" s="3" t="s">
        <v>13</v>
      </c>
      <c r="F8" s="3">
        <v>0.08</v>
      </c>
      <c r="G8" s="3">
        <v>15</v>
      </c>
      <c r="H8" s="5">
        <v>6.85</v>
      </c>
      <c r="I8" s="6">
        <f>G8*H8*(1+F8)</f>
        <v>110.97000000000001</v>
      </c>
    </row>
    <row r="9" spans="1:11">
      <c r="A9" s="3" t="s">
        <v>26</v>
      </c>
      <c r="B9" s="4" t="s">
        <v>27</v>
      </c>
      <c r="C9" s="3" t="s">
        <v>28</v>
      </c>
      <c r="D9" s="3" t="s">
        <v>29</v>
      </c>
      <c r="E9" s="3" t="s">
        <v>13</v>
      </c>
      <c r="F9" s="3">
        <v>0.01</v>
      </c>
      <c r="G9" s="3">
        <v>10</v>
      </c>
      <c r="H9" s="5">
        <v>1.2</v>
      </c>
      <c r="I9" s="6">
        <f>G9*H9*(1+F9)</f>
        <v>12.120000000000001</v>
      </c>
    </row>
    <row r="10" spans="1:11">
      <c r="A10" s="3" t="s">
        <v>30</v>
      </c>
      <c r="B10" s="4" t="s">
        <v>31</v>
      </c>
      <c r="C10" s="3" t="s">
        <v>28</v>
      </c>
      <c r="D10" s="3" t="s">
        <v>29</v>
      </c>
      <c r="E10" s="3" t="s">
        <v>13</v>
      </c>
      <c r="F10" s="3">
        <v>0.08</v>
      </c>
      <c r="G10" s="3">
        <v>18</v>
      </c>
      <c r="H10" s="5">
        <v>1.1000000000000001</v>
      </c>
      <c r="I10" s="6">
        <f>G10*H10*(1+F10)</f>
        <v>21.384000000000004</v>
      </c>
    </row>
    <row r="11" spans="1:11">
      <c r="A11" s="3" t="s">
        <v>32</v>
      </c>
      <c r="B11" s="4" t="s">
        <v>33</v>
      </c>
      <c r="C11" s="3" t="s">
        <v>28</v>
      </c>
      <c r="D11" s="3" t="s">
        <v>29</v>
      </c>
      <c r="E11" s="3" t="s">
        <v>13</v>
      </c>
      <c r="F11" s="3">
        <v>0.08</v>
      </c>
      <c r="G11" s="3">
        <v>15</v>
      </c>
      <c r="H11" s="5">
        <v>1.1000000000000001</v>
      </c>
      <c r="I11" s="6">
        <f>G11*H11*(1+F11)</f>
        <v>17.82</v>
      </c>
    </row>
    <row r="12" spans="1:11">
      <c r="A12" s="3" t="s">
        <v>34</v>
      </c>
      <c r="B12" s="4" t="s">
        <v>35</v>
      </c>
      <c r="C12" s="3" t="s">
        <v>28</v>
      </c>
      <c r="D12" s="3" t="s">
        <v>29</v>
      </c>
      <c r="E12" s="3" t="s">
        <v>13</v>
      </c>
      <c r="F12" s="3">
        <v>0.08</v>
      </c>
      <c r="G12" s="3">
        <v>17</v>
      </c>
      <c r="H12" s="5">
        <v>1.5</v>
      </c>
      <c r="I12" s="6">
        <f>G12*H12*(1+F12)</f>
        <v>27.540000000000003</v>
      </c>
    </row>
    <row r="13" spans="1:11">
      <c r="A13" s="3" t="s">
        <v>36</v>
      </c>
      <c r="B13" s="4" t="s">
        <v>37</v>
      </c>
      <c r="C13" s="3" t="s">
        <v>28</v>
      </c>
      <c r="D13" s="3" t="s">
        <v>29</v>
      </c>
      <c r="E13" s="3" t="s">
        <v>13</v>
      </c>
      <c r="F13" s="3">
        <v>0.01</v>
      </c>
      <c r="G13" s="3">
        <v>11</v>
      </c>
      <c r="H13" s="5">
        <v>1.5</v>
      </c>
      <c r="I13" s="6">
        <f>G13*H13*(1+F13)</f>
        <v>16.664999999999999</v>
      </c>
    </row>
    <row r="14" spans="1:11">
      <c r="A14" s="3" t="s">
        <v>38</v>
      </c>
      <c r="B14" s="4" t="s">
        <v>39</v>
      </c>
      <c r="C14" s="3" t="s">
        <v>28</v>
      </c>
      <c r="D14" s="3" t="s">
        <v>29</v>
      </c>
      <c r="E14" s="3" t="s">
        <v>13</v>
      </c>
      <c r="F14" s="3">
        <v>0.08</v>
      </c>
      <c r="G14" s="3">
        <v>2</v>
      </c>
      <c r="H14" s="5">
        <v>1.1000000000000001</v>
      </c>
      <c r="I14" s="6">
        <f>G14*H14*(1+F14)</f>
        <v>2.3760000000000003</v>
      </c>
    </row>
    <row r="15" spans="1:11">
      <c r="A15" s="3" t="s">
        <v>40</v>
      </c>
      <c r="B15" s="4" t="s">
        <v>41</v>
      </c>
      <c r="C15" s="3" t="s">
        <v>28</v>
      </c>
      <c r="D15" s="3" t="s">
        <v>29</v>
      </c>
      <c r="E15" s="3" t="s">
        <v>13</v>
      </c>
      <c r="F15" s="3">
        <v>0.08</v>
      </c>
      <c r="G15" s="3">
        <v>12</v>
      </c>
      <c r="H15" s="5">
        <v>1.2</v>
      </c>
      <c r="I15" s="6">
        <f>G15*H15*(1+F15)</f>
        <v>15.552</v>
      </c>
    </row>
    <row r="16" spans="1:11">
      <c r="A16" s="3" t="s">
        <v>42</v>
      </c>
      <c r="B16" s="4" t="s">
        <v>43</v>
      </c>
      <c r="C16" s="3" t="s">
        <v>28</v>
      </c>
      <c r="D16" s="3" t="s">
        <v>29</v>
      </c>
      <c r="E16" s="3" t="s">
        <v>13</v>
      </c>
      <c r="F16" s="3">
        <v>0.08</v>
      </c>
      <c r="G16" s="3">
        <v>8</v>
      </c>
      <c r="H16" s="5">
        <v>1</v>
      </c>
      <c r="I16" s="6">
        <f>G16*H16*(1+F16)</f>
        <v>8.64</v>
      </c>
    </row>
    <row r="17" spans="1:9">
      <c r="A17" s="3" t="s">
        <v>44</v>
      </c>
      <c r="B17" s="4" t="s">
        <v>45</v>
      </c>
      <c r="C17" s="3" t="s">
        <v>28</v>
      </c>
      <c r="D17" s="3" t="s">
        <v>29</v>
      </c>
      <c r="E17" s="3" t="s">
        <v>13</v>
      </c>
      <c r="F17" s="3">
        <v>0.08</v>
      </c>
      <c r="G17" s="3">
        <v>20</v>
      </c>
      <c r="H17" s="5">
        <v>1</v>
      </c>
      <c r="I17" s="6">
        <f>G17*H17*(1+F17)</f>
        <v>21.6</v>
      </c>
    </row>
    <row r="18" spans="1:9">
      <c r="A18" s="3" t="s">
        <v>46</v>
      </c>
      <c r="B18" s="4" t="s">
        <v>47</v>
      </c>
      <c r="C18" s="3" t="s">
        <v>28</v>
      </c>
      <c r="D18" s="3" t="s">
        <v>12</v>
      </c>
      <c r="E18" s="3" t="s">
        <v>13</v>
      </c>
      <c r="F18" s="3">
        <v>0.08</v>
      </c>
      <c r="G18" s="3">
        <v>9</v>
      </c>
      <c r="H18" s="5">
        <v>3</v>
      </c>
      <c r="I18" s="6">
        <f>G18*H18*(1+F18)</f>
        <v>29.160000000000004</v>
      </c>
    </row>
    <row r="19" spans="1:9">
      <c r="A19" s="3" t="s">
        <v>48</v>
      </c>
      <c r="B19" s="4" t="s">
        <v>49</v>
      </c>
      <c r="C19" s="3" t="s">
        <v>28</v>
      </c>
      <c r="D19" s="3" t="s">
        <v>12</v>
      </c>
      <c r="E19" s="3" t="s">
        <v>13</v>
      </c>
      <c r="F19" s="3">
        <v>0.08</v>
      </c>
      <c r="G19" s="3">
        <v>15</v>
      </c>
      <c r="H19" s="5">
        <v>3.4</v>
      </c>
      <c r="I19" s="6">
        <f>G19*H19*(1+F19)</f>
        <v>55.080000000000005</v>
      </c>
    </row>
    <row r="20" spans="1:9">
      <c r="A20" s="3" t="s">
        <v>50</v>
      </c>
      <c r="B20" s="4" t="s">
        <v>51</v>
      </c>
      <c r="C20" s="3" t="s">
        <v>28</v>
      </c>
      <c r="D20" s="3" t="s">
        <v>12</v>
      </c>
      <c r="E20" s="3" t="s">
        <v>13</v>
      </c>
      <c r="F20" s="3">
        <v>0.08</v>
      </c>
      <c r="G20" s="3">
        <v>15</v>
      </c>
      <c r="H20" s="5">
        <v>4.5</v>
      </c>
      <c r="I20" s="6">
        <f>G20*H20*(1+F20)</f>
        <v>72.900000000000006</v>
      </c>
    </row>
    <row r="21" spans="1:9">
      <c r="A21" s="3" t="s">
        <v>52</v>
      </c>
      <c r="B21" s="4" t="s">
        <v>53</v>
      </c>
      <c r="C21" s="3" t="s">
        <v>28</v>
      </c>
      <c r="D21" s="3" t="s">
        <v>12</v>
      </c>
      <c r="E21" s="3" t="s">
        <v>13</v>
      </c>
      <c r="F21" s="3">
        <v>0.08</v>
      </c>
      <c r="G21" s="3">
        <v>2</v>
      </c>
      <c r="H21" s="5">
        <v>3.5</v>
      </c>
      <c r="I21" s="6">
        <f>G21*H21*(1+F21)</f>
        <v>7.5600000000000005</v>
      </c>
    </row>
    <row r="22" spans="1:9">
      <c r="A22" s="3" t="s">
        <v>54</v>
      </c>
      <c r="B22" s="4" t="s">
        <v>55</v>
      </c>
      <c r="C22" s="3" t="s">
        <v>28</v>
      </c>
      <c r="D22" s="3" t="s">
        <v>12</v>
      </c>
      <c r="E22" s="3" t="s">
        <v>13</v>
      </c>
      <c r="F22" s="3">
        <v>0.08</v>
      </c>
      <c r="G22" s="3">
        <v>6</v>
      </c>
      <c r="H22" s="5">
        <v>1</v>
      </c>
      <c r="I22" s="6">
        <f>G22*H22*(1+F22)</f>
        <v>6.48</v>
      </c>
    </row>
    <row r="23" spans="1:9">
      <c r="A23" s="3" t="s">
        <v>56</v>
      </c>
      <c r="B23" s="4" t="s">
        <v>57</v>
      </c>
      <c r="C23" s="3" t="s">
        <v>28</v>
      </c>
      <c r="D23" s="3" t="s">
        <v>12</v>
      </c>
      <c r="E23" s="3" t="s">
        <v>13</v>
      </c>
      <c r="F23" s="3">
        <v>0.08</v>
      </c>
      <c r="G23" s="3">
        <v>10</v>
      </c>
      <c r="H23" s="5">
        <v>2.2999999999999998</v>
      </c>
      <c r="I23" s="6">
        <f>G23*H23*(1+F23)</f>
        <v>24.840000000000003</v>
      </c>
    </row>
    <row r="24" spans="1:9">
      <c r="A24" s="3" t="s">
        <v>58</v>
      </c>
      <c r="B24" s="4" t="s">
        <v>59</v>
      </c>
      <c r="C24" s="3" t="s">
        <v>60</v>
      </c>
      <c r="D24" s="3" t="s">
        <v>12</v>
      </c>
      <c r="E24" s="3" t="s">
        <v>13</v>
      </c>
      <c r="F24" s="3">
        <v>0.01</v>
      </c>
      <c r="G24" s="3">
        <v>12</v>
      </c>
      <c r="H24" s="5">
        <v>0.6</v>
      </c>
      <c r="I24" s="6">
        <f>G24*H24*(1+F24)</f>
        <v>7.2719999999999994</v>
      </c>
    </row>
    <row r="25" spans="1:9">
      <c r="A25" s="3" t="s">
        <v>61</v>
      </c>
      <c r="B25" s="4" t="s">
        <v>62</v>
      </c>
      <c r="C25" s="3" t="s">
        <v>60</v>
      </c>
      <c r="D25" s="3" t="s">
        <v>12</v>
      </c>
      <c r="E25" s="3" t="s">
        <v>13</v>
      </c>
      <c r="F25" s="3">
        <v>0.01</v>
      </c>
      <c r="G25" s="3">
        <v>20</v>
      </c>
      <c r="H25" s="5">
        <v>0.7</v>
      </c>
      <c r="I25" s="6">
        <f>G25*H25*(1+F25)</f>
        <v>14.14</v>
      </c>
    </row>
    <row r="26" spans="1:9">
      <c r="A26" s="3" t="s">
        <v>63</v>
      </c>
      <c r="B26" s="4" t="s">
        <v>64</v>
      </c>
      <c r="C26" s="3" t="s">
        <v>60</v>
      </c>
      <c r="D26" s="3" t="s">
        <v>12</v>
      </c>
      <c r="E26" s="3" t="s">
        <v>13</v>
      </c>
      <c r="F26" s="3">
        <v>0.01</v>
      </c>
      <c r="G26" s="3">
        <v>10</v>
      </c>
      <c r="H26" s="5">
        <v>0.45</v>
      </c>
      <c r="I26" s="6">
        <f>G26*H26*(1+F26)</f>
        <v>4.5449999999999999</v>
      </c>
    </row>
    <row r="27" spans="1:9">
      <c r="A27" s="3" t="s">
        <v>65</v>
      </c>
      <c r="B27" s="4" t="s">
        <v>66</v>
      </c>
      <c r="C27" s="3" t="s">
        <v>60</v>
      </c>
      <c r="D27" s="3" t="s">
        <v>12</v>
      </c>
      <c r="E27" s="3" t="s">
        <v>13</v>
      </c>
      <c r="F27" s="3">
        <v>0.08</v>
      </c>
      <c r="G27" s="3">
        <v>4</v>
      </c>
      <c r="H27" s="5">
        <v>2.2000000000000002</v>
      </c>
      <c r="I27" s="6">
        <f>G27*H27*(1+F27)</f>
        <v>9.5040000000000013</v>
      </c>
    </row>
    <row r="28" spans="1:9">
      <c r="A28" s="3" t="s">
        <v>67</v>
      </c>
      <c r="B28" s="4" t="s">
        <v>68</v>
      </c>
      <c r="C28" s="3" t="s">
        <v>69</v>
      </c>
      <c r="D28" s="3" t="s">
        <v>12</v>
      </c>
      <c r="E28" s="3" t="s">
        <v>13</v>
      </c>
      <c r="F28" s="3">
        <v>0.1</v>
      </c>
      <c r="G28" s="3">
        <v>6</v>
      </c>
      <c r="H28" s="5">
        <v>4</v>
      </c>
      <c r="I28" s="6">
        <f>G28*H28*(1+F28)</f>
        <v>26.400000000000002</v>
      </c>
    </row>
    <row r="29" spans="1:9">
      <c r="A29" s="3" t="s">
        <v>70</v>
      </c>
      <c r="B29" s="4" t="s">
        <v>71</v>
      </c>
      <c r="C29" s="3" t="s">
        <v>69</v>
      </c>
      <c r="D29" s="3" t="s">
        <v>12</v>
      </c>
      <c r="E29" s="3" t="s">
        <v>13</v>
      </c>
      <c r="F29" s="3">
        <v>0.1</v>
      </c>
      <c r="G29" s="3">
        <v>10</v>
      </c>
      <c r="H29" s="5">
        <v>15</v>
      </c>
      <c r="I29" s="6">
        <f>G29*H29*(1+F29)</f>
        <v>165</v>
      </c>
    </row>
    <row r="30" spans="1:9">
      <c r="A30" s="3" t="s">
        <v>72</v>
      </c>
      <c r="B30" s="4" t="s">
        <v>73</v>
      </c>
      <c r="C30" s="3" t="s">
        <v>69</v>
      </c>
      <c r="D30" s="3" t="s">
        <v>12</v>
      </c>
      <c r="E30" s="3" t="s">
        <v>13</v>
      </c>
      <c r="F30" s="3">
        <v>0.08</v>
      </c>
      <c r="G30" s="3">
        <v>10</v>
      </c>
      <c r="H30" s="5">
        <v>4</v>
      </c>
      <c r="I30" s="6">
        <f>G30*H30*(1+F30)</f>
        <v>43.2</v>
      </c>
    </row>
    <row r="31" spans="1:9">
      <c r="A31" s="3" t="s">
        <v>74</v>
      </c>
      <c r="B31" s="4" t="s">
        <v>75</v>
      </c>
      <c r="C31" s="3" t="s">
        <v>69</v>
      </c>
      <c r="D31" s="3" t="s">
        <v>12</v>
      </c>
      <c r="E31" s="3" t="s">
        <v>13</v>
      </c>
      <c r="F31" s="3">
        <v>0.1</v>
      </c>
      <c r="G31" s="3">
        <v>8</v>
      </c>
      <c r="H31" s="5">
        <v>23</v>
      </c>
      <c r="I31" s="6">
        <f>G31*H31*(1+F31)</f>
        <v>202.4</v>
      </c>
    </row>
    <row r="32" spans="1:9">
      <c r="A32" s="3" t="s">
        <v>76</v>
      </c>
      <c r="B32" s="4" t="s">
        <v>77</v>
      </c>
      <c r="C32" s="3" t="s">
        <v>78</v>
      </c>
      <c r="D32" s="3" t="s">
        <v>12</v>
      </c>
      <c r="E32" s="3" t="s">
        <v>13</v>
      </c>
      <c r="F32" s="3">
        <v>0.08</v>
      </c>
      <c r="G32" s="3">
        <v>11</v>
      </c>
      <c r="H32" s="5">
        <v>23.4</v>
      </c>
      <c r="I32" s="6">
        <f>G32*H32*(1+F32)</f>
        <v>277.99200000000002</v>
      </c>
    </row>
    <row r="33" spans="1:9">
      <c r="A33" s="3" t="s">
        <v>79</v>
      </c>
      <c r="B33" s="4" t="s">
        <v>80</v>
      </c>
      <c r="C33" s="3" t="s">
        <v>78</v>
      </c>
      <c r="D33" s="3" t="s">
        <v>12</v>
      </c>
      <c r="E33" s="3" t="s">
        <v>13</v>
      </c>
      <c r="F33" s="3">
        <v>0.08</v>
      </c>
      <c r="G33" s="3">
        <v>8</v>
      </c>
      <c r="H33" s="5">
        <v>90</v>
      </c>
      <c r="I33" s="6">
        <f>G33*H33*(1+F33)</f>
        <v>777.6</v>
      </c>
    </row>
    <row r="34" spans="1:9">
      <c r="A34" s="3" t="s">
        <v>81</v>
      </c>
      <c r="B34" s="4" t="s">
        <v>82</v>
      </c>
      <c r="C34" s="3" t="s">
        <v>78</v>
      </c>
      <c r="D34" s="3" t="s">
        <v>12</v>
      </c>
      <c r="E34" s="3" t="s">
        <v>13</v>
      </c>
      <c r="F34" s="3">
        <v>0.08</v>
      </c>
      <c r="G34" s="3">
        <v>13</v>
      </c>
      <c r="H34" s="5">
        <v>40.9</v>
      </c>
      <c r="I34" s="6">
        <f>G34*H34*(1+F34)</f>
        <v>574.23599999999999</v>
      </c>
    </row>
    <row r="35" spans="1:9">
      <c r="A35" s="3" t="s">
        <v>83</v>
      </c>
      <c r="B35" s="4" t="s">
        <v>84</v>
      </c>
      <c r="C35" s="3" t="s">
        <v>78</v>
      </c>
      <c r="D35" s="3" t="s">
        <v>12</v>
      </c>
      <c r="E35" s="3" t="s">
        <v>13</v>
      </c>
      <c r="F35" s="3">
        <v>0.08</v>
      </c>
      <c r="G35" s="3">
        <v>11</v>
      </c>
      <c r="H35" s="5">
        <v>12.3</v>
      </c>
      <c r="I35" s="6">
        <f>G35*H35*(1+F35)</f>
        <v>146.12400000000002</v>
      </c>
    </row>
    <row r="36" spans="1:9">
      <c r="A36" s="3" t="s">
        <v>85</v>
      </c>
      <c r="B36" s="4" t="s">
        <v>86</v>
      </c>
      <c r="C36" s="3" t="s">
        <v>78</v>
      </c>
      <c r="D36" s="3" t="s">
        <v>12</v>
      </c>
      <c r="E36" s="3" t="s">
        <v>13</v>
      </c>
      <c r="F36" s="3">
        <v>0.08</v>
      </c>
      <c r="G36" s="3">
        <v>5</v>
      </c>
      <c r="H36" s="5">
        <v>23.6</v>
      </c>
      <c r="I36" s="6">
        <f>G36*H36*(1+F36)</f>
        <v>127.44000000000001</v>
      </c>
    </row>
    <row r="37" spans="1:9">
      <c r="A37" s="3" t="s">
        <v>87</v>
      </c>
      <c r="B37" s="4" t="s">
        <v>88</v>
      </c>
      <c r="C37" s="3" t="s">
        <v>78</v>
      </c>
      <c r="D37" s="3" t="s">
        <v>12</v>
      </c>
      <c r="E37" s="3" t="s">
        <v>13</v>
      </c>
      <c r="F37" s="3">
        <v>0.08</v>
      </c>
      <c r="G37" s="3">
        <v>13</v>
      </c>
      <c r="H37" s="5">
        <v>7</v>
      </c>
      <c r="I37" s="6">
        <f>G37*H37*(1+F37)</f>
        <v>98.28</v>
      </c>
    </row>
  </sheetData>
  <autoFilter ref="A1:I37">
    <sortState ref="A2:I37">
      <sortCondition ref="C2:C37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2"/>
  <dimension ref="A1:Z43"/>
  <sheetViews>
    <sheetView workbookViewId="0">
      <selection activeCell="S35" sqref="S35"/>
    </sheetView>
  </sheetViews>
  <sheetFormatPr defaultRowHeight="15"/>
  <cols>
    <col min="1" max="1" width="10.140625" bestFit="1" customWidth="1"/>
    <col min="8" max="8" width="10" bestFit="1" customWidth="1"/>
    <col min="16" max="16" width="9.140625" style="44"/>
    <col min="18" max="18" width="15.85546875" bestFit="1" customWidth="1"/>
    <col min="21" max="23" width="15.28515625" bestFit="1" customWidth="1"/>
  </cols>
  <sheetData>
    <row r="1" spans="1:26">
      <c r="A1" t="s">
        <v>182</v>
      </c>
      <c r="B1" t="s">
        <v>183</v>
      </c>
      <c r="C1" t="s">
        <v>184</v>
      </c>
      <c r="D1" t="s">
        <v>185</v>
      </c>
      <c r="E1" t="s">
        <v>8</v>
      </c>
      <c r="J1" t="s">
        <v>186</v>
      </c>
      <c r="K1" t="s">
        <v>187</v>
      </c>
      <c r="L1" t="s">
        <v>188</v>
      </c>
      <c r="N1" t="s">
        <v>189</v>
      </c>
      <c r="R1" t="s">
        <v>190</v>
      </c>
      <c r="U1" t="s">
        <v>191</v>
      </c>
      <c r="Y1">
        <v>1</v>
      </c>
      <c r="Z1" t="s">
        <v>192</v>
      </c>
    </row>
    <row r="2" spans="1:26">
      <c r="A2" s="45">
        <v>43157</v>
      </c>
      <c r="B2" t="s">
        <v>193</v>
      </c>
      <c r="C2">
        <v>66</v>
      </c>
      <c r="D2">
        <v>66</v>
      </c>
      <c r="E2">
        <v>4356</v>
      </c>
      <c r="F2">
        <f>WEEKDAY(A2)</f>
        <v>2</v>
      </c>
      <c r="G2" t="str">
        <f>VLOOKUP(F2,Y1:Z7,2,FALSE)</f>
        <v>Salı</v>
      </c>
      <c r="H2" t="str">
        <f>CHOOSE(F2,Z1,Z2,Z3,Z4,Z5,Z6,Z7)</f>
        <v>Salı</v>
      </c>
      <c r="J2">
        <f>YEAR(A2)</f>
        <v>2018</v>
      </c>
      <c r="K2">
        <f>MONTH(A2)</f>
        <v>2</v>
      </c>
      <c r="L2">
        <f>DAY(A2)</f>
        <v>26</v>
      </c>
      <c r="N2">
        <v>1</v>
      </c>
      <c r="O2">
        <f>SUMIF($L$2:$L$41,N2,$E$2:$E$41)</f>
        <v>16498</v>
      </c>
      <c r="P2" s="46">
        <f>O2/$E$43</f>
        <v>3.9079784537689323E-2</v>
      </c>
      <c r="R2">
        <v>1</v>
      </c>
      <c r="S2">
        <f>SUMIF(K2:K41,R2,E2:E41)</f>
        <v>19654</v>
      </c>
      <c r="U2">
        <v>2018</v>
      </c>
      <c r="V2">
        <f>SUMIF(J2:J41,U2,E2:E41)</f>
        <v>115861</v>
      </c>
      <c r="Y2">
        <v>2</v>
      </c>
      <c r="Z2" t="s">
        <v>194</v>
      </c>
    </row>
    <row r="3" spans="1:26">
      <c r="A3" s="45">
        <v>43427</v>
      </c>
      <c r="B3" t="s">
        <v>195</v>
      </c>
      <c r="C3">
        <v>100</v>
      </c>
      <c r="D3">
        <v>56</v>
      </c>
      <c r="E3">
        <v>5600</v>
      </c>
      <c r="F3">
        <f t="shared" ref="F3:F41" si="0">WEEKDAY(A3)</f>
        <v>6</v>
      </c>
      <c r="G3" t="str">
        <f t="shared" ref="G3:G41" si="1">VLOOKUP(F3,Y2:Z8,2,FALSE)</f>
        <v>Cumartesi</v>
      </c>
      <c r="H3" t="str">
        <f t="shared" ref="H3:H41" si="2">CHOOSE(F3,Z2,Z3,Z4,Z5,Z6,Z7,Z8)</f>
        <v>Pazar</v>
      </c>
      <c r="J3">
        <f t="shared" ref="J3:J41" si="3">YEAR(A3)</f>
        <v>2018</v>
      </c>
      <c r="K3">
        <f t="shared" ref="K3:K41" si="4">MONTH(A3)</f>
        <v>11</v>
      </c>
      <c r="L3">
        <f t="shared" ref="L3:L41" si="5">DAY(A3)</f>
        <v>23</v>
      </c>
      <c r="N3">
        <v>2</v>
      </c>
      <c r="O3">
        <f t="shared" ref="O3:O32" si="6">SUMIF($L$2:$L$41,N3,$E$2:$E$41)</f>
        <v>0</v>
      </c>
      <c r="P3" s="46">
        <f t="shared" ref="P3:P32" si="7">O3/$E$43</f>
        <v>0</v>
      </c>
      <c r="R3">
        <v>2</v>
      </c>
      <c r="S3">
        <f t="shared" ref="S3:S13" si="8">SUMIF(K3:K42,R3,E3:E42)</f>
        <v>132388</v>
      </c>
      <c r="U3">
        <v>2019</v>
      </c>
      <c r="V3">
        <f t="shared" ref="V3:V5" si="9">SUMIF(J3:J42,U3,E3:E42)</f>
        <v>108722</v>
      </c>
      <c r="Y3">
        <v>3</v>
      </c>
      <c r="Z3" t="s">
        <v>196</v>
      </c>
    </row>
    <row r="4" spans="1:26">
      <c r="A4" s="45">
        <v>43878</v>
      </c>
      <c r="B4" t="s">
        <v>197</v>
      </c>
      <c r="C4">
        <v>31</v>
      </c>
      <c r="D4">
        <v>34</v>
      </c>
      <c r="E4">
        <v>1054</v>
      </c>
      <c r="F4">
        <f t="shared" si="0"/>
        <v>2</v>
      </c>
      <c r="G4" t="e">
        <f t="shared" si="1"/>
        <v>#N/A</v>
      </c>
      <c r="H4" t="str">
        <f t="shared" si="2"/>
        <v>Perşembe</v>
      </c>
      <c r="J4">
        <f t="shared" si="3"/>
        <v>2020</v>
      </c>
      <c r="K4">
        <f t="shared" si="4"/>
        <v>2</v>
      </c>
      <c r="L4">
        <f t="shared" si="5"/>
        <v>17</v>
      </c>
      <c r="N4">
        <v>3</v>
      </c>
      <c r="O4">
        <f t="shared" si="6"/>
        <v>0</v>
      </c>
      <c r="P4" s="46">
        <f t="shared" si="7"/>
        <v>0</v>
      </c>
      <c r="R4">
        <v>3</v>
      </c>
      <c r="S4">
        <f t="shared" si="8"/>
        <v>5626</v>
      </c>
      <c r="U4">
        <v>2020</v>
      </c>
      <c r="V4">
        <f t="shared" si="9"/>
        <v>150415</v>
      </c>
      <c r="Y4">
        <v>4</v>
      </c>
      <c r="Z4" t="s">
        <v>198</v>
      </c>
    </row>
    <row r="5" spans="1:26">
      <c r="A5" s="45">
        <v>43443</v>
      </c>
      <c r="B5" t="s">
        <v>199</v>
      </c>
      <c r="C5">
        <v>62</v>
      </c>
      <c r="D5">
        <v>42</v>
      </c>
      <c r="E5">
        <v>2604</v>
      </c>
      <c r="F5">
        <f t="shared" si="0"/>
        <v>1</v>
      </c>
      <c r="G5" t="e">
        <f t="shared" si="1"/>
        <v>#N/A</v>
      </c>
      <c r="H5" t="str">
        <f t="shared" si="2"/>
        <v>Perşembe</v>
      </c>
      <c r="J5">
        <f t="shared" si="3"/>
        <v>2018</v>
      </c>
      <c r="K5">
        <f t="shared" si="4"/>
        <v>12</v>
      </c>
      <c r="L5">
        <f t="shared" si="5"/>
        <v>9</v>
      </c>
      <c r="N5">
        <v>4</v>
      </c>
      <c r="O5">
        <f t="shared" si="6"/>
        <v>2592</v>
      </c>
      <c r="P5" s="46">
        <f t="shared" si="7"/>
        <v>6.1398231010844177E-3</v>
      </c>
      <c r="R5">
        <v>4</v>
      </c>
      <c r="S5">
        <f t="shared" si="8"/>
        <v>10080</v>
      </c>
      <c r="U5">
        <v>2021</v>
      </c>
      <c r="V5">
        <f t="shared" si="9"/>
        <v>0</v>
      </c>
      <c r="Y5">
        <v>5</v>
      </c>
      <c r="Z5" t="s">
        <v>200</v>
      </c>
    </row>
    <row r="6" spans="1:26">
      <c r="A6" s="45">
        <v>43952</v>
      </c>
      <c r="B6" t="s">
        <v>201</v>
      </c>
      <c r="C6">
        <v>356</v>
      </c>
      <c r="D6">
        <v>43</v>
      </c>
      <c r="E6">
        <v>15308</v>
      </c>
      <c r="F6">
        <f t="shared" si="0"/>
        <v>6</v>
      </c>
      <c r="G6" t="str">
        <f t="shared" si="1"/>
        <v>Cumartesi</v>
      </c>
      <c r="H6">
        <f t="shared" si="2"/>
        <v>0</v>
      </c>
      <c r="J6">
        <f t="shared" si="3"/>
        <v>2020</v>
      </c>
      <c r="K6">
        <f t="shared" si="4"/>
        <v>5</v>
      </c>
      <c r="L6">
        <f t="shared" si="5"/>
        <v>1</v>
      </c>
      <c r="N6">
        <v>5</v>
      </c>
      <c r="O6">
        <f t="shared" si="6"/>
        <v>37155</v>
      </c>
      <c r="P6" s="46">
        <f t="shared" si="7"/>
        <v>8.8011237392280686E-2</v>
      </c>
      <c r="R6">
        <v>5</v>
      </c>
      <c r="S6">
        <f t="shared" si="8"/>
        <v>54270</v>
      </c>
      <c r="Y6">
        <v>6</v>
      </c>
      <c r="Z6" t="s">
        <v>202</v>
      </c>
    </row>
    <row r="7" spans="1:26">
      <c r="A7" s="45">
        <v>43866</v>
      </c>
      <c r="B7" t="s">
        <v>203</v>
      </c>
      <c r="C7">
        <v>361</v>
      </c>
      <c r="D7">
        <v>75</v>
      </c>
      <c r="E7">
        <v>27075</v>
      </c>
      <c r="F7">
        <f t="shared" si="0"/>
        <v>4</v>
      </c>
      <c r="G7" t="e">
        <f t="shared" si="1"/>
        <v>#N/A</v>
      </c>
      <c r="H7">
        <f t="shared" si="2"/>
        <v>0</v>
      </c>
      <c r="J7">
        <f t="shared" si="3"/>
        <v>2020</v>
      </c>
      <c r="K7">
        <f t="shared" si="4"/>
        <v>2</v>
      </c>
      <c r="L7">
        <f t="shared" si="5"/>
        <v>5</v>
      </c>
      <c r="N7">
        <v>6</v>
      </c>
      <c r="O7">
        <f t="shared" si="6"/>
        <v>18662</v>
      </c>
      <c r="P7" s="46">
        <f t="shared" si="7"/>
        <v>4.4205778824242828E-2</v>
      </c>
      <c r="R7">
        <v>6</v>
      </c>
      <c r="S7">
        <f t="shared" si="8"/>
        <v>43565</v>
      </c>
      <c r="Y7">
        <v>7</v>
      </c>
      <c r="Z7" t="s">
        <v>204</v>
      </c>
    </row>
    <row r="8" spans="1:26">
      <c r="A8" s="45">
        <v>43869</v>
      </c>
      <c r="B8" t="s">
        <v>205</v>
      </c>
      <c r="C8">
        <v>35</v>
      </c>
      <c r="D8">
        <v>12</v>
      </c>
      <c r="E8">
        <v>420</v>
      </c>
      <c r="F8">
        <f t="shared" si="0"/>
        <v>7</v>
      </c>
      <c r="G8" t="str">
        <f t="shared" si="1"/>
        <v>Pazar</v>
      </c>
      <c r="H8">
        <f t="shared" si="2"/>
        <v>0</v>
      </c>
      <c r="J8">
        <f t="shared" si="3"/>
        <v>2020</v>
      </c>
      <c r="K8">
        <f t="shared" si="4"/>
        <v>2</v>
      </c>
      <c r="L8">
        <f t="shared" si="5"/>
        <v>8</v>
      </c>
      <c r="N8">
        <v>7</v>
      </c>
      <c r="O8">
        <f t="shared" si="6"/>
        <v>7304</v>
      </c>
      <c r="P8" s="46">
        <f t="shared" si="7"/>
        <v>1.7301415096574301E-2</v>
      </c>
      <c r="R8">
        <v>7</v>
      </c>
      <c r="S8">
        <f t="shared" si="8"/>
        <v>82</v>
      </c>
    </row>
    <row r="9" spans="1:26">
      <c r="A9" s="45">
        <v>43423</v>
      </c>
      <c r="B9" t="s">
        <v>206</v>
      </c>
      <c r="C9">
        <v>125</v>
      </c>
      <c r="D9">
        <v>7</v>
      </c>
      <c r="E9">
        <v>875</v>
      </c>
      <c r="F9">
        <f t="shared" si="0"/>
        <v>2</v>
      </c>
      <c r="G9" t="e">
        <f t="shared" si="1"/>
        <v>#N/A</v>
      </c>
      <c r="H9">
        <f t="shared" si="2"/>
        <v>0</v>
      </c>
      <c r="J9">
        <f t="shared" si="3"/>
        <v>2018</v>
      </c>
      <c r="K9">
        <f t="shared" si="4"/>
        <v>11</v>
      </c>
      <c r="L9">
        <f t="shared" si="5"/>
        <v>19</v>
      </c>
      <c r="N9">
        <v>8</v>
      </c>
      <c r="O9">
        <f t="shared" si="6"/>
        <v>24444</v>
      </c>
      <c r="P9" s="46">
        <f t="shared" si="7"/>
        <v>5.7901942856059999E-2</v>
      </c>
      <c r="R9">
        <v>8</v>
      </c>
      <c r="S9">
        <f t="shared" si="8"/>
        <v>21730</v>
      </c>
    </row>
    <row r="10" spans="1:26">
      <c r="A10" s="45">
        <v>43869</v>
      </c>
      <c r="B10" t="s">
        <v>207</v>
      </c>
      <c r="C10">
        <v>480</v>
      </c>
      <c r="D10">
        <v>40</v>
      </c>
      <c r="E10">
        <v>19200</v>
      </c>
      <c r="F10">
        <f t="shared" si="0"/>
        <v>7</v>
      </c>
      <c r="G10" t="e">
        <f t="shared" si="1"/>
        <v>#N/A</v>
      </c>
      <c r="H10">
        <f t="shared" si="2"/>
        <v>0</v>
      </c>
      <c r="J10">
        <f t="shared" si="3"/>
        <v>2020</v>
      </c>
      <c r="K10">
        <f t="shared" si="4"/>
        <v>2</v>
      </c>
      <c r="L10">
        <f t="shared" si="5"/>
        <v>8</v>
      </c>
      <c r="N10">
        <v>9</v>
      </c>
      <c r="O10">
        <f t="shared" si="6"/>
        <v>2604</v>
      </c>
      <c r="P10" s="46">
        <f t="shared" si="7"/>
        <v>6.168248208033883E-3</v>
      </c>
      <c r="R10">
        <v>9</v>
      </c>
      <c r="S10">
        <f t="shared" si="8"/>
        <v>9830</v>
      </c>
    </row>
    <row r="11" spans="1:26">
      <c r="A11" s="45">
        <v>43091</v>
      </c>
      <c r="B11" t="s">
        <v>208</v>
      </c>
      <c r="C11">
        <v>388</v>
      </c>
      <c r="D11">
        <v>41</v>
      </c>
      <c r="E11">
        <v>15908</v>
      </c>
      <c r="F11">
        <f t="shared" si="0"/>
        <v>6</v>
      </c>
      <c r="G11" t="e">
        <f t="shared" si="1"/>
        <v>#N/A</v>
      </c>
      <c r="H11">
        <f t="shared" si="2"/>
        <v>0</v>
      </c>
      <c r="J11">
        <f t="shared" si="3"/>
        <v>2017</v>
      </c>
      <c r="K11">
        <f t="shared" si="4"/>
        <v>12</v>
      </c>
      <c r="L11">
        <f t="shared" si="5"/>
        <v>22</v>
      </c>
      <c r="N11">
        <v>10</v>
      </c>
      <c r="O11">
        <f t="shared" si="6"/>
        <v>82</v>
      </c>
      <c r="P11" s="46">
        <f t="shared" si="7"/>
        <v>1.9423823082134346E-4</v>
      </c>
      <c r="R11">
        <v>10</v>
      </c>
      <c r="S11">
        <f t="shared" si="8"/>
        <v>40894</v>
      </c>
    </row>
    <row r="12" spans="1:26">
      <c r="A12" s="45">
        <v>43184</v>
      </c>
      <c r="B12" t="s">
        <v>209</v>
      </c>
      <c r="C12">
        <v>194</v>
      </c>
      <c r="D12">
        <v>29</v>
      </c>
      <c r="E12">
        <v>5626</v>
      </c>
      <c r="F12">
        <f t="shared" si="0"/>
        <v>1</v>
      </c>
      <c r="G12" t="e">
        <f t="shared" si="1"/>
        <v>#N/A</v>
      </c>
      <c r="H12">
        <f t="shared" si="2"/>
        <v>0</v>
      </c>
      <c r="J12">
        <f t="shared" si="3"/>
        <v>2018</v>
      </c>
      <c r="K12">
        <f t="shared" si="4"/>
        <v>3</v>
      </c>
      <c r="L12">
        <f t="shared" si="5"/>
        <v>25</v>
      </c>
      <c r="N12">
        <v>11</v>
      </c>
      <c r="O12">
        <f t="shared" si="6"/>
        <v>23630</v>
      </c>
      <c r="P12" s="46">
        <f t="shared" si="7"/>
        <v>5.5973773101321296E-2</v>
      </c>
      <c r="R12">
        <v>11</v>
      </c>
      <c r="S12">
        <f t="shared" si="8"/>
        <v>43184</v>
      </c>
    </row>
    <row r="13" spans="1:26">
      <c r="A13" s="45">
        <v>43054</v>
      </c>
      <c r="B13" t="s">
        <v>210</v>
      </c>
      <c r="C13">
        <v>354</v>
      </c>
      <c r="D13">
        <v>69</v>
      </c>
      <c r="E13">
        <v>24426</v>
      </c>
      <c r="F13">
        <f t="shared" si="0"/>
        <v>4</v>
      </c>
      <c r="G13" t="e">
        <f t="shared" si="1"/>
        <v>#N/A</v>
      </c>
      <c r="H13">
        <f t="shared" si="2"/>
        <v>0</v>
      </c>
      <c r="J13">
        <f t="shared" si="3"/>
        <v>2017</v>
      </c>
      <c r="K13">
        <f t="shared" si="4"/>
        <v>11</v>
      </c>
      <c r="L13">
        <f t="shared" si="5"/>
        <v>15</v>
      </c>
      <c r="N13">
        <v>12</v>
      </c>
      <c r="O13">
        <f t="shared" si="6"/>
        <v>3600</v>
      </c>
      <c r="P13" s="46">
        <f t="shared" si="7"/>
        <v>8.5275320848394696E-3</v>
      </c>
      <c r="R13">
        <v>12</v>
      </c>
      <c r="S13">
        <f t="shared" si="8"/>
        <v>11516</v>
      </c>
    </row>
    <row r="14" spans="1:26">
      <c r="A14" s="45">
        <v>43344</v>
      </c>
      <c r="B14" t="s">
        <v>211</v>
      </c>
      <c r="C14">
        <v>70</v>
      </c>
      <c r="D14">
        <v>17</v>
      </c>
      <c r="E14">
        <v>1190</v>
      </c>
      <c r="F14">
        <f t="shared" si="0"/>
        <v>7</v>
      </c>
      <c r="G14" t="e">
        <f t="shared" si="1"/>
        <v>#N/A</v>
      </c>
      <c r="H14">
        <f t="shared" si="2"/>
        <v>0</v>
      </c>
      <c r="J14">
        <f t="shared" si="3"/>
        <v>2018</v>
      </c>
      <c r="K14">
        <f t="shared" si="4"/>
        <v>9</v>
      </c>
      <c r="L14">
        <f t="shared" si="5"/>
        <v>1</v>
      </c>
      <c r="N14">
        <v>13</v>
      </c>
      <c r="O14">
        <f t="shared" si="6"/>
        <v>3672</v>
      </c>
      <c r="P14" s="46">
        <f t="shared" si="7"/>
        <v>8.6980827265362593E-3</v>
      </c>
    </row>
    <row r="15" spans="1:26">
      <c r="A15" s="45">
        <v>43507</v>
      </c>
      <c r="B15" t="s">
        <v>212</v>
      </c>
      <c r="C15">
        <v>62</v>
      </c>
      <c r="D15">
        <v>51</v>
      </c>
      <c r="E15">
        <v>3162</v>
      </c>
      <c r="F15">
        <f t="shared" si="0"/>
        <v>2</v>
      </c>
      <c r="G15" t="e">
        <f t="shared" si="1"/>
        <v>#N/A</v>
      </c>
      <c r="H15">
        <f t="shared" si="2"/>
        <v>0</v>
      </c>
      <c r="J15">
        <f t="shared" si="3"/>
        <v>2019</v>
      </c>
      <c r="K15">
        <f t="shared" si="4"/>
        <v>2</v>
      </c>
      <c r="L15">
        <f t="shared" si="5"/>
        <v>11</v>
      </c>
      <c r="N15">
        <v>14</v>
      </c>
      <c r="O15">
        <f t="shared" si="6"/>
        <v>36024</v>
      </c>
      <c r="P15" s="46">
        <f t="shared" si="7"/>
        <v>8.5332171062293627E-2</v>
      </c>
      <c r="X15">
        <v>2</v>
      </c>
      <c r="Y15" t="str">
        <f>CHOOSE(X15,Z1,Z2,Z3,Z4,Z5,Z6,Z7)</f>
        <v>Salı</v>
      </c>
    </row>
    <row r="16" spans="1:26">
      <c r="A16" s="45">
        <v>43630</v>
      </c>
      <c r="B16" t="s">
        <v>213</v>
      </c>
      <c r="C16">
        <v>319</v>
      </c>
      <c r="D16">
        <v>89</v>
      </c>
      <c r="E16">
        <v>28391</v>
      </c>
      <c r="F16">
        <f t="shared" si="0"/>
        <v>6</v>
      </c>
      <c r="G16" t="e">
        <f t="shared" si="1"/>
        <v>#N/A</v>
      </c>
      <c r="H16">
        <f t="shared" si="2"/>
        <v>0</v>
      </c>
      <c r="J16">
        <f t="shared" si="3"/>
        <v>2019</v>
      </c>
      <c r="K16">
        <f t="shared" si="4"/>
        <v>6</v>
      </c>
      <c r="L16">
        <f t="shared" si="5"/>
        <v>14</v>
      </c>
      <c r="N16">
        <v>15</v>
      </c>
      <c r="O16">
        <f t="shared" si="6"/>
        <v>43830</v>
      </c>
      <c r="P16" s="46">
        <f t="shared" si="7"/>
        <v>0.10382270313292054</v>
      </c>
    </row>
    <row r="17" spans="1:23">
      <c r="A17" s="45">
        <v>43720</v>
      </c>
      <c r="B17" t="s">
        <v>214</v>
      </c>
      <c r="C17">
        <v>80</v>
      </c>
      <c r="D17">
        <v>45</v>
      </c>
      <c r="E17">
        <v>3600</v>
      </c>
      <c r="F17">
        <f t="shared" si="0"/>
        <v>5</v>
      </c>
      <c r="G17" t="e">
        <f t="shared" si="1"/>
        <v>#N/A</v>
      </c>
      <c r="H17">
        <f t="shared" si="2"/>
        <v>0</v>
      </c>
      <c r="J17">
        <f t="shared" si="3"/>
        <v>2019</v>
      </c>
      <c r="K17">
        <f t="shared" si="4"/>
        <v>9</v>
      </c>
      <c r="L17">
        <f t="shared" si="5"/>
        <v>12</v>
      </c>
      <c r="N17">
        <v>16</v>
      </c>
      <c r="O17">
        <f t="shared" si="6"/>
        <v>29862</v>
      </c>
      <c r="P17" s="46">
        <f t="shared" si="7"/>
        <v>7.0735878643743394E-2</v>
      </c>
    </row>
    <row r="18" spans="1:23">
      <c r="A18" s="45">
        <v>43752</v>
      </c>
      <c r="B18" t="s">
        <v>215</v>
      </c>
      <c r="C18">
        <v>449</v>
      </c>
      <c r="D18">
        <v>17</v>
      </c>
      <c r="E18">
        <v>7633</v>
      </c>
      <c r="F18">
        <f t="shared" si="0"/>
        <v>2</v>
      </c>
      <c r="G18" t="e">
        <f t="shared" si="1"/>
        <v>#N/A</v>
      </c>
      <c r="H18">
        <f t="shared" si="2"/>
        <v>0</v>
      </c>
      <c r="J18">
        <f t="shared" si="3"/>
        <v>2019</v>
      </c>
      <c r="K18">
        <f t="shared" si="4"/>
        <v>10</v>
      </c>
      <c r="L18">
        <f t="shared" si="5"/>
        <v>14</v>
      </c>
      <c r="N18">
        <v>17</v>
      </c>
      <c r="O18">
        <f t="shared" si="6"/>
        <v>21123</v>
      </c>
      <c r="P18" s="46">
        <f t="shared" si="7"/>
        <v>5.0035294507795584E-2</v>
      </c>
    </row>
    <row r="19" spans="1:23">
      <c r="A19" s="45">
        <v>43849</v>
      </c>
      <c r="B19" t="s">
        <v>216</v>
      </c>
      <c r="C19">
        <v>130</v>
      </c>
      <c r="D19">
        <v>95</v>
      </c>
      <c r="E19">
        <v>12350</v>
      </c>
      <c r="F19">
        <f t="shared" si="0"/>
        <v>1</v>
      </c>
      <c r="G19" t="e">
        <f t="shared" si="1"/>
        <v>#N/A</v>
      </c>
      <c r="H19">
        <f t="shared" si="2"/>
        <v>0</v>
      </c>
      <c r="J19">
        <f t="shared" si="3"/>
        <v>2020</v>
      </c>
      <c r="K19">
        <f t="shared" si="4"/>
        <v>1</v>
      </c>
      <c r="L19">
        <f t="shared" si="5"/>
        <v>19</v>
      </c>
      <c r="N19">
        <v>18</v>
      </c>
      <c r="O19">
        <f t="shared" si="6"/>
        <v>0</v>
      </c>
      <c r="P19" s="46">
        <f t="shared" si="7"/>
        <v>0</v>
      </c>
    </row>
    <row r="20" spans="1:23">
      <c r="A20" s="45">
        <v>43507</v>
      </c>
      <c r="B20" t="s">
        <v>217</v>
      </c>
      <c r="C20">
        <v>301</v>
      </c>
      <c r="D20">
        <v>68</v>
      </c>
      <c r="E20">
        <v>20468</v>
      </c>
      <c r="F20">
        <f t="shared" si="0"/>
        <v>2</v>
      </c>
      <c r="G20" t="e">
        <f t="shared" si="1"/>
        <v>#N/A</v>
      </c>
      <c r="H20">
        <f t="shared" si="2"/>
        <v>0</v>
      </c>
      <c r="J20">
        <f t="shared" si="3"/>
        <v>2019</v>
      </c>
      <c r="K20">
        <f t="shared" si="4"/>
        <v>2</v>
      </c>
      <c r="L20">
        <f t="shared" si="5"/>
        <v>11</v>
      </c>
      <c r="N20">
        <v>19</v>
      </c>
      <c r="O20">
        <f t="shared" si="6"/>
        <v>24073</v>
      </c>
      <c r="P20" s="46">
        <f t="shared" si="7"/>
        <v>5.7023133299539036E-2</v>
      </c>
    </row>
    <row r="21" spans="1:23">
      <c r="A21" s="45">
        <v>43656</v>
      </c>
      <c r="B21" t="s">
        <v>218</v>
      </c>
      <c r="C21">
        <v>1</v>
      </c>
      <c r="D21">
        <v>82</v>
      </c>
      <c r="E21">
        <v>82</v>
      </c>
      <c r="F21">
        <f t="shared" si="0"/>
        <v>4</v>
      </c>
      <c r="G21" t="e">
        <f t="shared" si="1"/>
        <v>#N/A</v>
      </c>
      <c r="H21">
        <f t="shared" si="2"/>
        <v>0</v>
      </c>
      <c r="J21">
        <f t="shared" si="3"/>
        <v>2019</v>
      </c>
      <c r="K21">
        <f t="shared" si="4"/>
        <v>7</v>
      </c>
      <c r="L21">
        <f t="shared" si="5"/>
        <v>10</v>
      </c>
      <c r="N21">
        <v>20</v>
      </c>
      <c r="O21">
        <f t="shared" si="6"/>
        <v>21991</v>
      </c>
      <c r="P21" s="46">
        <f t="shared" si="7"/>
        <v>5.2091377243806879E-2</v>
      </c>
    </row>
    <row r="22" spans="1:23">
      <c r="A22" s="45">
        <v>43970</v>
      </c>
      <c r="B22" t="s">
        <v>219</v>
      </c>
      <c r="C22">
        <v>305</v>
      </c>
      <c r="D22">
        <v>14</v>
      </c>
      <c r="E22">
        <v>4270</v>
      </c>
      <c r="F22">
        <f t="shared" si="0"/>
        <v>3</v>
      </c>
      <c r="G22" t="e">
        <f t="shared" si="1"/>
        <v>#N/A</v>
      </c>
      <c r="H22">
        <f t="shared" si="2"/>
        <v>0</v>
      </c>
      <c r="J22">
        <f t="shared" si="3"/>
        <v>2020</v>
      </c>
      <c r="K22">
        <f t="shared" si="4"/>
        <v>5</v>
      </c>
      <c r="L22">
        <f t="shared" si="5"/>
        <v>19</v>
      </c>
      <c r="N22">
        <v>21</v>
      </c>
      <c r="O22">
        <f t="shared" si="6"/>
        <v>11264</v>
      </c>
      <c r="P22" s="46">
        <f t="shared" si="7"/>
        <v>2.6681700389897717E-2</v>
      </c>
    </row>
    <row r="23" spans="1:23">
      <c r="A23" s="45">
        <v>43641</v>
      </c>
      <c r="B23" t="s">
        <v>220</v>
      </c>
      <c r="C23">
        <v>138</v>
      </c>
      <c r="D23">
        <v>75</v>
      </c>
      <c r="E23">
        <v>10350</v>
      </c>
      <c r="F23">
        <f t="shared" si="0"/>
        <v>3</v>
      </c>
      <c r="G23" t="e">
        <f t="shared" si="1"/>
        <v>#N/A</v>
      </c>
      <c r="H23">
        <f t="shared" si="2"/>
        <v>0</v>
      </c>
      <c r="J23">
        <f t="shared" si="3"/>
        <v>2019</v>
      </c>
      <c r="K23">
        <f t="shared" si="4"/>
        <v>6</v>
      </c>
      <c r="L23">
        <f t="shared" si="5"/>
        <v>25</v>
      </c>
      <c r="N23">
        <v>22</v>
      </c>
      <c r="O23">
        <f t="shared" si="6"/>
        <v>15908</v>
      </c>
      <c r="P23" s="46">
        <f t="shared" si="7"/>
        <v>3.7682216779340631E-2</v>
      </c>
    </row>
    <row r="24" spans="1:23">
      <c r="A24" s="45">
        <v>43926</v>
      </c>
      <c r="B24" t="s">
        <v>221</v>
      </c>
      <c r="C24">
        <v>280</v>
      </c>
      <c r="D24">
        <v>36</v>
      </c>
      <c r="E24">
        <v>10080</v>
      </c>
      <c r="F24">
        <f t="shared" si="0"/>
        <v>1</v>
      </c>
      <c r="G24" t="e">
        <f t="shared" si="1"/>
        <v>#N/A</v>
      </c>
      <c r="H24">
        <f t="shared" si="2"/>
        <v>0</v>
      </c>
      <c r="J24">
        <f t="shared" si="3"/>
        <v>2020</v>
      </c>
      <c r="K24">
        <f t="shared" si="4"/>
        <v>4</v>
      </c>
      <c r="L24">
        <f t="shared" si="5"/>
        <v>5</v>
      </c>
      <c r="N24">
        <v>23</v>
      </c>
      <c r="O24">
        <f t="shared" si="6"/>
        <v>5600</v>
      </c>
      <c r="P24" s="46">
        <f t="shared" si="7"/>
        <v>1.3265049909750285E-2</v>
      </c>
    </row>
    <row r="25" spans="1:23">
      <c r="A25" s="45">
        <v>43758</v>
      </c>
      <c r="B25" t="s">
        <v>222</v>
      </c>
      <c r="C25">
        <v>265</v>
      </c>
      <c r="D25">
        <v>40</v>
      </c>
      <c r="E25">
        <v>10600</v>
      </c>
      <c r="F25">
        <f t="shared" si="0"/>
        <v>1</v>
      </c>
      <c r="G25" t="e">
        <f t="shared" si="1"/>
        <v>#N/A</v>
      </c>
      <c r="H25">
        <f t="shared" si="2"/>
        <v>0</v>
      </c>
      <c r="J25">
        <f t="shared" si="3"/>
        <v>2019</v>
      </c>
      <c r="K25">
        <f t="shared" si="4"/>
        <v>10</v>
      </c>
      <c r="L25">
        <f t="shared" si="5"/>
        <v>20</v>
      </c>
      <c r="N25">
        <v>24</v>
      </c>
      <c r="O25">
        <f t="shared" si="6"/>
        <v>12180</v>
      </c>
      <c r="P25" s="46">
        <f t="shared" si="7"/>
        <v>2.8851483553706869E-2</v>
      </c>
    </row>
    <row r="26" spans="1:23">
      <c r="A26" s="45">
        <v>43259</v>
      </c>
      <c r="B26" t="s">
        <v>223</v>
      </c>
      <c r="C26">
        <v>402</v>
      </c>
      <c r="D26">
        <v>12</v>
      </c>
      <c r="E26">
        <v>4824</v>
      </c>
      <c r="F26">
        <f t="shared" si="0"/>
        <v>6</v>
      </c>
      <c r="G26" t="e">
        <f t="shared" si="1"/>
        <v>#N/A</v>
      </c>
      <c r="H26">
        <f t="shared" si="2"/>
        <v>0</v>
      </c>
      <c r="J26">
        <f t="shared" si="3"/>
        <v>2018</v>
      </c>
      <c r="K26">
        <f t="shared" si="4"/>
        <v>6</v>
      </c>
      <c r="L26">
        <f t="shared" si="5"/>
        <v>8</v>
      </c>
      <c r="N26">
        <v>25</v>
      </c>
      <c r="O26">
        <f t="shared" si="6"/>
        <v>15976</v>
      </c>
      <c r="P26" s="46">
        <f t="shared" si="7"/>
        <v>3.7843292385387597E-2</v>
      </c>
    </row>
    <row r="27" spans="1:23">
      <c r="A27" s="45">
        <v>43058</v>
      </c>
      <c r="B27" t="s">
        <v>224</v>
      </c>
      <c r="C27">
        <v>143</v>
      </c>
      <c r="D27">
        <v>46</v>
      </c>
      <c r="E27">
        <v>6578</v>
      </c>
      <c r="F27">
        <f t="shared" si="0"/>
        <v>1</v>
      </c>
      <c r="G27" t="e">
        <f t="shared" si="1"/>
        <v>#N/A</v>
      </c>
      <c r="H27">
        <f t="shared" si="2"/>
        <v>0</v>
      </c>
      <c r="J27">
        <f t="shared" si="3"/>
        <v>2017</v>
      </c>
      <c r="K27">
        <f t="shared" si="4"/>
        <v>11</v>
      </c>
      <c r="L27">
        <f t="shared" si="5"/>
        <v>19</v>
      </c>
      <c r="N27">
        <v>26</v>
      </c>
      <c r="O27">
        <f t="shared" si="6"/>
        <v>4356</v>
      </c>
      <c r="P27" s="46">
        <f t="shared" si="7"/>
        <v>1.0318313822655759E-2</v>
      </c>
    </row>
    <row r="28" spans="1:23">
      <c r="A28" s="45">
        <v>43144</v>
      </c>
      <c r="B28" t="s">
        <v>225</v>
      </c>
      <c r="C28">
        <v>108</v>
      </c>
      <c r="D28">
        <v>34</v>
      </c>
      <c r="E28">
        <v>3672</v>
      </c>
      <c r="F28">
        <f t="shared" si="0"/>
        <v>3</v>
      </c>
      <c r="G28" t="e">
        <f t="shared" si="1"/>
        <v>#N/A</v>
      </c>
      <c r="H28">
        <f t="shared" si="2"/>
        <v>0</v>
      </c>
      <c r="J28">
        <f t="shared" si="3"/>
        <v>2018</v>
      </c>
      <c r="K28">
        <f t="shared" si="4"/>
        <v>2</v>
      </c>
      <c r="L28">
        <f t="shared" si="5"/>
        <v>13</v>
      </c>
      <c r="N28">
        <v>27</v>
      </c>
      <c r="O28">
        <f t="shared" si="6"/>
        <v>5040</v>
      </c>
      <c r="P28" s="46">
        <f t="shared" si="7"/>
        <v>1.1938544918775256E-2</v>
      </c>
    </row>
    <row r="29" spans="1:23">
      <c r="A29" s="45">
        <v>43390</v>
      </c>
      <c r="B29" t="s">
        <v>226</v>
      </c>
      <c r="C29">
        <v>427</v>
      </c>
      <c r="D29">
        <v>47</v>
      </c>
      <c r="E29">
        <v>20069</v>
      </c>
      <c r="F29">
        <f t="shared" si="0"/>
        <v>4</v>
      </c>
      <c r="G29" t="e">
        <f t="shared" si="1"/>
        <v>#N/A</v>
      </c>
      <c r="H29">
        <f t="shared" si="2"/>
        <v>0</v>
      </c>
      <c r="J29">
        <f t="shared" si="3"/>
        <v>2018</v>
      </c>
      <c r="K29">
        <f t="shared" si="4"/>
        <v>10</v>
      </c>
      <c r="L29">
        <f t="shared" si="5"/>
        <v>17</v>
      </c>
      <c r="N29">
        <v>28</v>
      </c>
      <c r="O29">
        <f t="shared" si="6"/>
        <v>34692</v>
      </c>
      <c r="P29" s="46">
        <f t="shared" si="7"/>
        <v>8.2176984190903024E-2</v>
      </c>
    </row>
    <row r="30" spans="1:23">
      <c r="A30" s="45">
        <v>43146</v>
      </c>
      <c r="B30" t="s">
        <v>227</v>
      </c>
      <c r="C30">
        <v>196</v>
      </c>
      <c r="D30">
        <v>99</v>
      </c>
      <c r="E30">
        <v>19404</v>
      </c>
      <c r="F30">
        <f t="shared" si="0"/>
        <v>5</v>
      </c>
      <c r="G30" t="e">
        <f t="shared" si="1"/>
        <v>#N/A</v>
      </c>
      <c r="H30">
        <f t="shared" si="2"/>
        <v>0</v>
      </c>
      <c r="J30">
        <f t="shared" si="3"/>
        <v>2018</v>
      </c>
      <c r="K30">
        <f t="shared" si="4"/>
        <v>2</v>
      </c>
      <c r="L30">
        <f t="shared" si="5"/>
        <v>15</v>
      </c>
      <c r="N30">
        <v>29</v>
      </c>
      <c r="O30">
        <f t="shared" si="6"/>
        <v>0</v>
      </c>
      <c r="P30" s="46">
        <f t="shared" si="7"/>
        <v>0</v>
      </c>
    </row>
    <row r="31" spans="1:23">
      <c r="A31" s="45">
        <v>43837</v>
      </c>
      <c r="B31" t="s">
        <v>228</v>
      </c>
      <c r="C31">
        <v>88</v>
      </c>
      <c r="D31">
        <v>83</v>
      </c>
      <c r="E31">
        <v>7304</v>
      </c>
      <c r="F31">
        <f t="shared" si="0"/>
        <v>3</v>
      </c>
      <c r="G31" t="e">
        <f t="shared" si="1"/>
        <v>#N/A</v>
      </c>
      <c r="H31">
        <f t="shared" si="2"/>
        <v>0</v>
      </c>
      <c r="J31">
        <f t="shared" si="3"/>
        <v>2020</v>
      </c>
      <c r="K31">
        <f t="shared" si="4"/>
        <v>1</v>
      </c>
      <c r="L31">
        <f t="shared" si="5"/>
        <v>7</v>
      </c>
      <c r="N31">
        <v>30</v>
      </c>
      <c r="O31">
        <f t="shared" si="6"/>
        <v>0</v>
      </c>
      <c r="P31" s="46">
        <f t="shared" si="7"/>
        <v>0</v>
      </c>
      <c r="R31" s="45">
        <v>43831</v>
      </c>
      <c r="V31" s="47">
        <f ca="1">NOW()</f>
        <v>43904.361264699073</v>
      </c>
      <c r="W31" s="47" t="s">
        <v>229</v>
      </c>
    </row>
    <row r="32" spans="1:23">
      <c r="A32" s="45">
        <v>43377</v>
      </c>
      <c r="B32" t="s">
        <v>230</v>
      </c>
      <c r="C32">
        <v>27</v>
      </c>
      <c r="D32">
        <v>96</v>
      </c>
      <c r="E32">
        <v>2592</v>
      </c>
      <c r="F32">
        <f t="shared" si="0"/>
        <v>5</v>
      </c>
      <c r="G32" t="e">
        <f t="shared" si="1"/>
        <v>#N/A</v>
      </c>
      <c r="H32">
        <f t="shared" si="2"/>
        <v>0</v>
      </c>
      <c r="J32">
        <f t="shared" si="3"/>
        <v>2018</v>
      </c>
      <c r="K32">
        <f t="shared" si="4"/>
        <v>10</v>
      </c>
      <c r="L32">
        <f t="shared" si="5"/>
        <v>4</v>
      </c>
      <c r="N32">
        <v>31</v>
      </c>
      <c r="O32">
        <f t="shared" si="6"/>
        <v>0</v>
      </c>
      <c r="P32" s="46">
        <f t="shared" si="7"/>
        <v>0</v>
      </c>
      <c r="R32" s="45">
        <v>43862</v>
      </c>
      <c r="V32">
        <f ca="1">HOUR(V31)</f>
        <v>8</v>
      </c>
      <c r="W32" s="48" t="s">
        <v>231</v>
      </c>
    </row>
    <row r="33" spans="1:23">
      <c r="A33" s="45">
        <v>43089</v>
      </c>
      <c r="B33" t="s">
        <v>232</v>
      </c>
      <c r="C33">
        <v>36</v>
      </c>
      <c r="D33">
        <v>7</v>
      </c>
      <c r="E33">
        <v>252</v>
      </c>
      <c r="F33">
        <f t="shared" si="0"/>
        <v>4</v>
      </c>
      <c r="G33" t="e">
        <f t="shared" si="1"/>
        <v>#N/A</v>
      </c>
      <c r="H33">
        <f t="shared" si="2"/>
        <v>0</v>
      </c>
      <c r="J33">
        <f t="shared" si="3"/>
        <v>2017</v>
      </c>
      <c r="K33">
        <f t="shared" si="4"/>
        <v>12</v>
      </c>
      <c r="L33">
        <f t="shared" si="5"/>
        <v>20</v>
      </c>
      <c r="P33" s="44">
        <f>SUM(P2:P32)</f>
        <v>1</v>
      </c>
      <c r="V33">
        <f ca="1">MINUTE(V31)</f>
        <v>40</v>
      </c>
      <c r="W33" t="s">
        <v>233</v>
      </c>
    </row>
    <row r="34" spans="1:23">
      <c r="A34" s="45">
        <v>43979</v>
      </c>
      <c r="B34" t="s">
        <v>234</v>
      </c>
      <c r="C34">
        <v>413</v>
      </c>
      <c r="D34">
        <v>84</v>
      </c>
      <c r="E34">
        <v>34692</v>
      </c>
      <c r="F34">
        <f t="shared" si="0"/>
        <v>5</v>
      </c>
      <c r="G34" t="e">
        <f t="shared" si="1"/>
        <v>#N/A</v>
      </c>
      <c r="H34">
        <f t="shared" si="2"/>
        <v>0</v>
      </c>
      <c r="J34">
        <f t="shared" si="3"/>
        <v>2020</v>
      </c>
      <c r="K34">
        <f t="shared" si="4"/>
        <v>5</v>
      </c>
      <c r="L34">
        <f t="shared" si="5"/>
        <v>28</v>
      </c>
      <c r="V34">
        <f ca="1">SECOND(V31)</f>
        <v>13</v>
      </c>
      <c r="W34" t="s">
        <v>235</v>
      </c>
    </row>
    <row r="35" spans="1:23">
      <c r="A35" s="45">
        <v>43867</v>
      </c>
      <c r="B35" t="s">
        <v>236</v>
      </c>
      <c r="C35">
        <v>301</v>
      </c>
      <c r="D35">
        <v>62</v>
      </c>
      <c r="E35">
        <v>18662</v>
      </c>
      <c r="F35">
        <f t="shared" si="0"/>
        <v>5</v>
      </c>
      <c r="G35" t="e">
        <f t="shared" si="1"/>
        <v>#N/A</v>
      </c>
      <c r="H35">
        <f t="shared" si="2"/>
        <v>0</v>
      </c>
      <c r="J35">
        <f t="shared" si="3"/>
        <v>2020</v>
      </c>
      <c r="K35">
        <f t="shared" si="4"/>
        <v>2</v>
      </c>
      <c r="L35">
        <f t="shared" si="5"/>
        <v>6</v>
      </c>
      <c r="R35">
        <f>NETWORKDAYS(R31,R32)</f>
        <v>23</v>
      </c>
      <c r="S35" t="s">
        <v>237</v>
      </c>
    </row>
    <row r="36" spans="1:23">
      <c r="A36" s="45">
        <v>43328</v>
      </c>
      <c r="B36" t="s">
        <v>238</v>
      </c>
      <c r="C36">
        <v>410</v>
      </c>
      <c r="D36">
        <v>53</v>
      </c>
      <c r="E36">
        <v>21730</v>
      </c>
      <c r="F36">
        <f t="shared" si="0"/>
        <v>5</v>
      </c>
      <c r="G36" t="e">
        <f t="shared" si="1"/>
        <v>#N/A</v>
      </c>
      <c r="H36">
        <f t="shared" si="2"/>
        <v>0</v>
      </c>
      <c r="J36">
        <f t="shared" si="3"/>
        <v>2018</v>
      </c>
      <c r="K36">
        <f t="shared" si="4"/>
        <v>8</v>
      </c>
      <c r="L36">
        <f t="shared" si="5"/>
        <v>16</v>
      </c>
    </row>
    <row r="37" spans="1:23">
      <c r="A37" s="45">
        <v>43428</v>
      </c>
      <c r="B37" t="s">
        <v>239</v>
      </c>
      <c r="C37">
        <v>406</v>
      </c>
      <c r="D37">
        <v>30</v>
      </c>
      <c r="E37">
        <v>12180</v>
      </c>
      <c r="F37">
        <f t="shared" si="0"/>
        <v>7</v>
      </c>
      <c r="G37" t="e">
        <f t="shared" si="1"/>
        <v>#N/A</v>
      </c>
      <c r="H37">
        <f t="shared" si="2"/>
        <v>0</v>
      </c>
      <c r="J37">
        <f t="shared" si="3"/>
        <v>2018</v>
      </c>
      <c r="K37">
        <f t="shared" si="4"/>
        <v>11</v>
      </c>
      <c r="L37">
        <f t="shared" si="5"/>
        <v>24</v>
      </c>
    </row>
    <row r="38" spans="1:23">
      <c r="A38" s="45">
        <v>43735</v>
      </c>
      <c r="B38" t="s">
        <v>240</v>
      </c>
      <c r="C38">
        <v>56</v>
      </c>
      <c r="D38">
        <v>90</v>
      </c>
      <c r="E38">
        <v>5040</v>
      </c>
      <c r="F38">
        <f t="shared" si="0"/>
        <v>6</v>
      </c>
      <c r="G38" t="e">
        <f t="shared" si="1"/>
        <v>#N/A</v>
      </c>
      <c r="H38">
        <f t="shared" si="2"/>
        <v>0</v>
      </c>
      <c r="J38">
        <f t="shared" si="3"/>
        <v>2019</v>
      </c>
      <c r="K38">
        <f t="shared" si="4"/>
        <v>9</v>
      </c>
      <c r="L38">
        <f t="shared" si="5"/>
        <v>27</v>
      </c>
    </row>
    <row r="39" spans="1:23">
      <c r="A39" s="45">
        <v>43512</v>
      </c>
      <c r="B39" t="s">
        <v>241</v>
      </c>
      <c r="C39">
        <v>214</v>
      </c>
      <c r="D39">
        <v>38</v>
      </c>
      <c r="E39">
        <v>8132</v>
      </c>
      <c r="F39">
        <f t="shared" si="0"/>
        <v>7</v>
      </c>
      <c r="G39" t="e">
        <f t="shared" si="1"/>
        <v>#N/A</v>
      </c>
      <c r="H39">
        <f t="shared" si="2"/>
        <v>0</v>
      </c>
      <c r="J39">
        <f t="shared" si="3"/>
        <v>2019</v>
      </c>
      <c r="K39">
        <f t="shared" si="4"/>
        <v>2</v>
      </c>
      <c r="L39">
        <f t="shared" si="5"/>
        <v>16</v>
      </c>
    </row>
    <row r="40" spans="1:23">
      <c r="A40" s="45">
        <v>43820</v>
      </c>
      <c r="B40" t="s">
        <v>242</v>
      </c>
      <c r="C40">
        <v>352</v>
      </c>
      <c r="D40">
        <v>32</v>
      </c>
      <c r="E40">
        <v>11264</v>
      </c>
      <c r="F40">
        <f t="shared" si="0"/>
        <v>7</v>
      </c>
      <c r="G40" t="e">
        <f t="shared" si="1"/>
        <v>#N/A</v>
      </c>
      <c r="H40">
        <f t="shared" si="2"/>
        <v>0</v>
      </c>
      <c r="J40">
        <f t="shared" si="3"/>
        <v>2019</v>
      </c>
      <c r="K40">
        <f t="shared" si="4"/>
        <v>12</v>
      </c>
      <c r="L40">
        <f t="shared" si="5"/>
        <v>21</v>
      </c>
    </row>
    <row r="41" spans="1:23">
      <c r="A41" s="45">
        <v>43151</v>
      </c>
      <c r="B41" t="s">
        <v>243</v>
      </c>
      <c r="C41">
        <v>141</v>
      </c>
      <c r="D41">
        <v>79</v>
      </c>
      <c r="E41">
        <v>11139</v>
      </c>
      <c r="F41">
        <f t="shared" si="0"/>
        <v>3</v>
      </c>
      <c r="G41" t="e">
        <f t="shared" si="1"/>
        <v>#N/A</v>
      </c>
      <c r="H41">
        <f t="shared" si="2"/>
        <v>0</v>
      </c>
      <c r="J41">
        <f t="shared" si="3"/>
        <v>2018</v>
      </c>
      <c r="K41">
        <f t="shared" si="4"/>
        <v>2</v>
      </c>
      <c r="L41">
        <f t="shared" si="5"/>
        <v>20</v>
      </c>
    </row>
    <row r="43" spans="1:23">
      <c r="E43">
        <f>SUM(E2:E42)</f>
        <v>422162</v>
      </c>
    </row>
  </sheetData>
  <conditionalFormatting sqref="P2:P3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{45C95C00-F450-4370-90D6-FE72EE29A519}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C95C00-F450-4370-90D6-FE72EE29A5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P2:P32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3"/>
  <dimension ref="A1:T18"/>
  <sheetViews>
    <sheetView workbookViewId="0">
      <selection activeCell="H27" sqref="H27"/>
    </sheetView>
  </sheetViews>
  <sheetFormatPr defaultRowHeight="15"/>
  <cols>
    <col min="1" max="1" width="22.85546875" bestFit="1" customWidth="1"/>
    <col min="2" max="6" width="8.42578125" bestFit="1" customWidth="1"/>
    <col min="7" max="7" width="8.85546875" bestFit="1" customWidth="1"/>
    <col min="8" max="8" width="9.7109375" bestFit="1" customWidth="1"/>
    <col min="9" max="9" width="9.42578125" bestFit="1" customWidth="1"/>
    <col min="10" max="13" width="8.42578125" bestFit="1" customWidth="1"/>
    <col min="14" max="14" width="10.5703125" bestFit="1" customWidth="1"/>
    <col min="19" max="19" width="14.85546875" bestFit="1" customWidth="1"/>
  </cols>
  <sheetData>
    <row r="1" spans="1:20">
      <c r="A1">
        <v>3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Q1" t="b">
        <v>1</v>
      </c>
      <c r="T1" t="s">
        <v>3056</v>
      </c>
    </row>
    <row r="2" spans="1:20" ht="15.75">
      <c r="A2" s="49" t="s">
        <v>244</v>
      </c>
      <c r="B2" s="49" t="s">
        <v>245</v>
      </c>
      <c r="C2" s="49" t="s">
        <v>246</v>
      </c>
      <c r="D2" s="49" t="s">
        <v>247</v>
      </c>
      <c r="E2" s="49" t="s">
        <v>248</v>
      </c>
      <c r="F2" s="49" t="s">
        <v>249</v>
      </c>
      <c r="G2" s="49" t="s">
        <v>250</v>
      </c>
      <c r="H2" s="49" t="s">
        <v>251</v>
      </c>
      <c r="I2" s="49" t="s">
        <v>252</v>
      </c>
      <c r="J2" s="49" t="s">
        <v>253</v>
      </c>
      <c r="K2" s="49" t="s">
        <v>254</v>
      </c>
      <c r="L2" s="49" t="s">
        <v>255</v>
      </c>
      <c r="M2" s="49" t="s">
        <v>256</v>
      </c>
      <c r="N2" s="50" t="s">
        <v>257</v>
      </c>
      <c r="T2">
        <v>0.12</v>
      </c>
    </row>
    <row r="3" spans="1:20" ht="15.75">
      <c r="A3" s="51" t="s">
        <v>258</v>
      </c>
      <c r="B3" s="52">
        <f>SUMIFS([3]Butce_Detay!D1:D14,[3]Butce_Detay!C1:C14,A3,[3]Butce_Detay!B1:B14,#REF!)</f>
        <v>0</v>
      </c>
      <c r="C3" s="52">
        <v>1500</v>
      </c>
      <c r="D3" s="52">
        <v>500</v>
      </c>
      <c r="E3" s="52">
        <v>1600</v>
      </c>
      <c r="F3" s="52">
        <v>1200</v>
      </c>
      <c r="G3" s="52">
        <v>400</v>
      </c>
      <c r="H3" s="52">
        <v>3000</v>
      </c>
      <c r="I3" s="52">
        <v>1000</v>
      </c>
      <c r="J3" s="52">
        <v>1000</v>
      </c>
      <c r="K3" s="52">
        <v>1000</v>
      </c>
      <c r="L3" s="52">
        <v>1000</v>
      </c>
      <c r="M3" s="52">
        <v>1000</v>
      </c>
      <c r="N3" s="53"/>
    </row>
    <row r="4" spans="1:20" ht="15.75">
      <c r="A4" s="51" t="s">
        <v>259</v>
      </c>
      <c r="B4" s="52">
        <v>6000</v>
      </c>
      <c r="C4" s="52">
        <v>5000</v>
      </c>
      <c r="D4" s="52">
        <v>3999</v>
      </c>
      <c r="E4" s="52">
        <v>5000</v>
      </c>
      <c r="F4" s="52">
        <v>5000</v>
      </c>
      <c r="G4" s="52">
        <v>5000</v>
      </c>
      <c r="H4" s="52">
        <v>5000</v>
      </c>
      <c r="I4" s="52">
        <v>5000</v>
      </c>
      <c r="J4" s="52">
        <v>5000</v>
      </c>
      <c r="K4" s="52">
        <v>5000</v>
      </c>
      <c r="L4" s="52">
        <v>5000</v>
      </c>
      <c r="M4" s="52">
        <v>5000</v>
      </c>
      <c r="N4" s="54"/>
    </row>
    <row r="5" spans="1:20" ht="15.75">
      <c r="A5" s="51" t="s">
        <v>260</v>
      </c>
      <c r="B5" s="52">
        <v>2100</v>
      </c>
      <c r="C5" s="52">
        <v>2100</v>
      </c>
      <c r="D5" s="52">
        <v>2100</v>
      </c>
      <c r="E5" s="52">
        <v>3000</v>
      </c>
      <c r="F5" s="52">
        <v>2100</v>
      </c>
      <c r="G5" s="52">
        <v>2100</v>
      </c>
      <c r="H5" s="52">
        <v>2100</v>
      </c>
      <c r="I5" s="52">
        <v>3000</v>
      </c>
      <c r="J5" s="52">
        <v>2100</v>
      </c>
      <c r="K5" s="52">
        <v>2100</v>
      </c>
      <c r="L5" s="52">
        <v>2100</v>
      </c>
      <c r="M5" s="52">
        <v>2100</v>
      </c>
      <c r="N5" s="54"/>
    </row>
    <row r="6" spans="1:20" ht="15.75">
      <c r="A6" s="51" t="s">
        <v>261</v>
      </c>
      <c r="B6" s="52">
        <v>200</v>
      </c>
      <c r="C6" s="52">
        <v>1200</v>
      </c>
      <c r="D6" s="52">
        <v>1200</v>
      </c>
      <c r="E6" s="52">
        <v>400</v>
      </c>
      <c r="F6" s="52">
        <v>200</v>
      </c>
      <c r="G6" s="52">
        <v>1200</v>
      </c>
      <c r="H6" s="52">
        <v>1200</v>
      </c>
      <c r="I6" s="52">
        <v>2000</v>
      </c>
      <c r="J6" s="52">
        <v>500</v>
      </c>
      <c r="K6" s="52">
        <v>1200</v>
      </c>
      <c r="L6" s="52">
        <v>1200</v>
      </c>
      <c r="M6" s="52">
        <v>1200</v>
      </c>
      <c r="N6" s="54"/>
    </row>
    <row r="7" spans="1:20" ht="15.75">
      <c r="A7" s="51" t="s">
        <v>262</v>
      </c>
      <c r="B7" s="52">
        <v>1200</v>
      </c>
      <c r="C7" s="52">
        <v>1200</v>
      </c>
      <c r="D7" s="52">
        <v>1200</v>
      </c>
      <c r="E7" s="52">
        <v>500</v>
      </c>
      <c r="F7" s="52">
        <v>1200</v>
      </c>
      <c r="G7" s="52">
        <v>1200</v>
      </c>
      <c r="H7" s="52">
        <v>1200</v>
      </c>
      <c r="I7" s="52">
        <v>1000</v>
      </c>
      <c r="J7" s="52">
        <v>1200</v>
      </c>
      <c r="K7" s="52">
        <v>1200</v>
      </c>
      <c r="L7" s="52">
        <v>1200</v>
      </c>
      <c r="M7" s="52">
        <v>1200</v>
      </c>
      <c r="N7" s="54"/>
    </row>
    <row r="8" spans="1:20" ht="15.75">
      <c r="A8" s="51" t="s">
        <v>263</v>
      </c>
      <c r="B8" s="52">
        <v>1000</v>
      </c>
      <c r="C8" s="52">
        <v>1100</v>
      </c>
      <c r="D8" s="52">
        <v>600</v>
      </c>
      <c r="E8" s="52">
        <v>600</v>
      </c>
      <c r="F8" s="52">
        <v>1000</v>
      </c>
      <c r="G8" s="52">
        <v>1100</v>
      </c>
      <c r="H8" s="52">
        <v>1100</v>
      </c>
      <c r="I8" s="52">
        <v>2000</v>
      </c>
      <c r="J8" s="52">
        <v>1100</v>
      </c>
      <c r="K8" s="52">
        <v>1100</v>
      </c>
      <c r="L8" s="52">
        <v>3000</v>
      </c>
      <c r="M8" s="52">
        <v>1100</v>
      </c>
      <c r="N8" s="54"/>
    </row>
    <row r="9" spans="1:20" ht="15.75">
      <c r="A9" s="51" t="s">
        <v>264</v>
      </c>
      <c r="B9" s="52">
        <v>500</v>
      </c>
      <c r="C9" s="52">
        <v>500</v>
      </c>
      <c r="D9" s="52">
        <v>300</v>
      </c>
      <c r="E9" s="52">
        <v>400</v>
      </c>
      <c r="F9" s="52">
        <v>500</v>
      </c>
      <c r="G9" s="52">
        <v>2000</v>
      </c>
      <c r="H9" s="52">
        <v>300</v>
      </c>
      <c r="I9" s="52">
        <v>3000</v>
      </c>
      <c r="J9" s="52">
        <v>2000</v>
      </c>
      <c r="K9" s="52">
        <v>500</v>
      </c>
      <c r="L9" s="52">
        <v>300</v>
      </c>
      <c r="M9" s="52">
        <v>2500</v>
      </c>
      <c r="N9" s="54"/>
    </row>
    <row r="10" spans="1:20" ht="15.75">
      <c r="A10" s="51" t="s">
        <v>265</v>
      </c>
      <c r="B10" s="52">
        <v>600</v>
      </c>
      <c r="C10" s="52">
        <v>500</v>
      </c>
      <c r="D10" s="52">
        <v>400</v>
      </c>
      <c r="E10" s="52">
        <v>500</v>
      </c>
      <c r="F10" s="52">
        <v>600</v>
      </c>
      <c r="G10" s="52">
        <v>500</v>
      </c>
      <c r="H10" s="52">
        <v>400</v>
      </c>
      <c r="I10" s="52">
        <v>500</v>
      </c>
      <c r="J10" s="52">
        <v>500</v>
      </c>
      <c r="K10" s="52">
        <v>500</v>
      </c>
      <c r="L10" s="52">
        <v>400</v>
      </c>
      <c r="M10" s="52">
        <v>1000</v>
      </c>
      <c r="N10" s="54"/>
    </row>
    <row r="11" spans="1:20" ht="15.75">
      <c r="A11" s="51" t="s">
        <v>266</v>
      </c>
      <c r="B11" s="52">
        <v>1200</v>
      </c>
      <c r="C11" s="52">
        <v>2200</v>
      </c>
      <c r="D11" s="52">
        <v>600</v>
      </c>
      <c r="E11" s="52">
        <v>1000</v>
      </c>
      <c r="F11" s="52">
        <v>1200</v>
      </c>
      <c r="G11" s="52">
        <v>2200</v>
      </c>
      <c r="H11" s="52">
        <v>1000</v>
      </c>
      <c r="I11" s="52">
        <v>1000</v>
      </c>
      <c r="J11" s="52">
        <v>1000</v>
      </c>
      <c r="K11" s="52">
        <v>1000</v>
      </c>
      <c r="L11" s="52">
        <v>1000</v>
      </c>
      <c r="M11" s="52">
        <v>1000</v>
      </c>
      <c r="N11" s="54"/>
    </row>
    <row r="12" spans="1:20" ht="15.75">
      <c r="A12" s="51" t="s">
        <v>267</v>
      </c>
      <c r="B12" s="52">
        <v>2000</v>
      </c>
      <c r="C12" s="52">
        <v>300</v>
      </c>
      <c r="D12" s="52">
        <v>1600</v>
      </c>
      <c r="E12" s="52">
        <v>700</v>
      </c>
      <c r="F12" s="52">
        <v>1000</v>
      </c>
      <c r="G12" s="52">
        <v>1000</v>
      </c>
      <c r="H12" s="52">
        <v>1000</v>
      </c>
      <c r="I12" s="52">
        <v>1000</v>
      </c>
      <c r="J12" s="52">
        <v>1000</v>
      </c>
      <c r="K12" s="52">
        <v>1000</v>
      </c>
      <c r="L12" s="52">
        <v>1000</v>
      </c>
      <c r="M12" s="52">
        <v>1000</v>
      </c>
      <c r="N12" s="54"/>
    </row>
    <row r="13" spans="1:20" ht="15.75">
      <c r="A13" s="51" t="s">
        <v>268</v>
      </c>
      <c r="B13" s="52">
        <v>1200</v>
      </c>
      <c r="C13" s="52">
        <v>1000</v>
      </c>
      <c r="D13" s="52">
        <v>400</v>
      </c>
      <c r="E13" s="52">
        <v>700</v>
      </c>
      <c r="F13" s="52">
        <v>1200</v>
      </c>
      <c r="G13" s="52">
        <v>500</v>
      </c>
      <c r="H13" s="52">
        <v>400</v>
      </c>
      <c r="I13" s="52">
        <v>5000</v>
      </c>
      <c r="J13" s="52">
        <v>500</v>
      </c>
      <c r="K13" s="52">
        <v>1000</v>
      </c>
      <c r="L13" s="52">
        <v>400</v>
      </c>
      <c r="M13" s="52">
        <v>1000</v>
      </c>
      <c r="N13" s="54"/>
    </row>
    <row r="14" spans="1:20" ht="15.75">
      <c r="A14" s="51" t="s">
        <v>269</v>
      </c>
      <c r="B14" s="52">
        <v>1000</v>
      </c>
      <c r="C14" s="52">
        <v>300</v>
      </c>
      <c r="D14" s="52">
        <v>200</v>
      </c>
      <c r="E14" s="52">
        <v>500</v>
      </c>
      <c r="F14" s="52">
        <v>2100</v>
      </c>
      <c r="G14" s="52">
        <v>600</v>
      </c>
      <c r="H14" s="52">
        <v>200</v>
      </c>
      <c r="I14" s="52">
        <v>500</v>
      </c>
      <c r="J14" s="52">
        <v>600</v>
      </c>
      <c r="K14" s="52">
        <v>2100</v>
      </c>
      <c r="L14" s="52">
        <v>400</v>
      </c>
      <c r="M14" s="52">
        <v>1000</v>
      </c>
      <c r="N14" s="54"/>
    </row>
    <row r="15" spans="1:20">
      <c r="B15" s="55"/>
    </row>
    <row r="16" spans="1:20" ht="15.75">
      <c r="A16" s="56" t="s">
        <v>270</v>
      </c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8">
        <f>SUM(B16:M16)</f>
        <v>0</v>
      </c>
    </row>
    <row r="17" spans="1:13">
      <c r="A17" t="str">
        <f ca="1">INDIRECT("A"&amp;A1)</f>
        <v>Reklam</v>
      </c>
      <c r="B17">
        <f ca="1">VLOOKUP($A$17,$A$3:$M$14,B1,FALSE)</f>
        <v>0</v>
      </c>
      <c r="C17">
        <f ca="1">VLOOKUP($A$17,$A$3:$M$14,C1,FALSE)</f>
        <v>1500</v>
      </c>
      <c r="D17">
        <f t="shared" ref="D17:M17" ca="1" si="0">VLOOKUP($A$17,$A$3:$M$14,D1,FALSE)</f>
        <v>500</v>
      </c>
      <c r="E17">
        <f t="shared" ca="1" si="0"/>
        <v>1600</v>
      </c>
      <c r="F17">
        <f t="shared" ca="1" si="0"/>
        <v>1200</v>
      </c>
      <c r="G17">
        <f t="shared" ca="1" si="0"/>
        <v>400</v>
      </c>
      <c r="H17">
        <f t="shared" ca="1" si="0"/>
        <v>3000</v>
      </c>
      <c r="I17">
        <f t="shared" ca="1" si="0"/>
        <v>1000</v>
      </c>
      <c r="J17">
        <f t="shared" ca="1" si="0"/>
        <v>1000</v>
      </c>
      <c r="K17">
        <f t="shared" ca="1" si="0"/>
        <v>1000</v>
      </c>
      <c r="L17">
        <f t="shared" ca="1" si="0"/>
        <v>1000</v>
      </c>
      <c r="M17">
        <f t="shared" ca="1" si="0"/>
        <v>1000</v>
      </c>
    </row>
    <row r="18" spans="1:13">
      <c r="B18">
        <f ca="1">IF($Q$1="DOĞRU",B17*(1+$T$2),B17)</f>
        <v>0</v>
      </c>
      <c r="C18">
        <f ca="1">IF($Q$1=TRUE,C17*(1+$T$2),C17)</f>
        <v>1680.0000000000002</v>
      </c>
      <c r="D18">
        <f ca="1">IF($Q$1=TRUE,D17*(1+$T$2),D17)</f>
        <v>560</v>
      </c>
      <c r="E18">
        <f ca="1">IF($Q$1=TRUE,E17*(1+$T$2),E17)</f>
        <v>1792.0000000000002</v>
      </c>
      <c r="F18">
        <f ca="1">IF($Q$1=TRUE,F17*(1+$T$2),F17)</f>
        <v>1344.0000000000002</v>
      </c>
      <c r="G18">
        <f ca="1">IF($Q$1=TRUE,G17*(1+$T$2),G17)</f>
        <v>448.00000000000006</v>
      </c>
      <c r="H18">
        <f ca="1">IF($Q$1=TRUE,H17*(1+$T$2),H17)</f>
        <v>3360.0000000000005</v>
      </c>
      <c r="I18">
        <f ca="1">IF($Q$1=TRUE,I17*(1+$T$2),I17)</f>
        <v>1120</v>
      </c>
      <c r="J18">
        <f ca="1">IF($Q$1=TRUE,J17*(1+$T$2),J17)</f>
        <v>1120</v>
      </c>
      <c r="K18">
        <f ca="1">IF($Q$1=TRUE,K17*(1+$T$2),K17)</f>
        <v>1120</v>
      </c>
      <c r="L18">
        <f ca="1">IF($Q$1=TRUE,L17*(1+$T$2),L17)</f>
        <v>1120</v>
      </c>
      <c r="M18">
        <f ca="1">IF($Q$1=TRUE,M17*(1+$T$2),M17)</f>
        <v>1120</v>
      </c>
    </row>
  </sheetData>
  <conditionalFormatting sqref="A3">
    <cfRule type="expression" dxfId="3" priority="4">
      <formula>AND(ROW(A3)=$A$1)</formula>
    </cfRule>
  </conditionalFormatting>
  <conditionalFormatting sqref="A4:A14">
    <cfRule type="expression" dxfId="2" priority="3">
      <formula>AND(ROW(A4)=$A$1)</formula>
    </cfRule>
  </conditionalFormatting>
  <conditionalFormatting sqref="B3:M3">
    <cfRule type="expression" dxfId="1" priority="2">
      <formula>AND(ROW($A3)=$A$1)</formula>
    </cfRule>
  </conditionalFormatting>
  <conditionalFormatting sqref="B4:M14">
    <cfRule type="expression" dxfId="0" priority="1">
      <formula>AND(ROW($A4)=$A$1)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heckBox1">
          <controlPr autoLine="0" linkedCell="Q1" r:id="rId4">
            <anchor moveWithCells="1">
              <from>
                <xdr:col>16</xdr:col>
                <xdr:colOff>504825</xdr:colOff>
                <xdr:row>2</xdr:row>
                <xdr:rowOff>161925</xdr:rowOff>
              </from>
              <to>
                <xdr:col>18</xdr:col>
                <xdr:colOff>657225</xdr:colOff>
                <xdr:row>4</xdr:row>
                <xdr:rowOff>28575</xdr:rowOff>
              </to>
            </anchor>
          </controlPr>
        </control>
      </mc:Choice>
      <mc:Fallback>
        <control shapeId="11266" r:id="rId3" name="CheckBox1"/>
      </mc:Fallback>
    </mc:AlternateContent>
    <mc:AlternateContent xmlns:mc="http://schemas.openxmlformats.org/markup-compatibility/2006">
      <mc:Choice Requires="x14">
        <control shapeId="11265" r:id="rId5" name="ScrollBar1">
          <controlPr defaultSize="0" autoLine="0" linkedCell="A1" r:id="rId6">
            <anchor moveWithCells="1">
              <from>
                <xdr:col>14</xdr:col>
                <xdr:colOff>133350</xdr:colOff>
                <xdr:row>1</xdr:row>
                <xdr:rowOff>0</xdr:rowOff>
              </from>
              <to>
                <xdr:col>14</xdr:col>
                <xdr:colOff>485775</xdr:colOff>
                <xdr:row>14</xdr:row>
                <xdr:rowOff>9525</xdr:rowOff>
              </to>
            </anchor>
          </controlPr>
        </control>
      </mc:Choice>
      <mc:Fallback>
        <control shapeId="11265" r:id="rId5" name="ScrollBar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Z94"/>
  <sheetViews>
    <sheetView showGridLines="0" zoomScale="90" zoomScaleNormal="90" workbookViewId="0">
      <selection activeCell="R4" sqref="R4"/>
    </sheetView>
  </sheetViews>
  <sheetFormatPr defaultColWidth="11.5703125" defaultRowHeight="15"/>
  <cols>
    <col min="1" max="1" width="4.85546875" style="59" customWidth="1"/>
    <col min="2" max="2" width="7.5703125" style="75" customWidth="1"/>
    <col min="3" max="3" width="29.5703125" style="75" bestFit="1" customWidth="1"/>
    <col min="4" max="4" width="11.85546875" style="76" customWidth="1"/>
    <col min="5" max="14" width="12" style="59" customWidth="1"/>
    <col min="15" max="16384" width="11.5703125" style="59"/>
  </cols>
  <sheetData>
    <row r="1" spans="2:19" ht="36">
      <c r="B1" s="60" t="s">
        <v>271</v>
      </c>
      <c r="C1" s="60" t="s">
        <v>272</v>
      </c>
      <c r="D1" s="60" t="s">
        <v>273</v>
      </c>
      <c r="E1" s="61" t="s">
        <v>274</v>
      </c>
      <c r="F1" s="61" t="s">
        <v>275</v>
      </c>
      <c r="G1" s="61" t="s">
        <v>276</v>
      </c>
      <c r="H1" s="61" t="s">
        <v>277</v>
      </c>
      <c r="I1" s="61" t="s">
        <v>278</v>
      </c>
      <c r="J1" s="61" t="s">
        <v>279</v>
      </c>
      <c r="K1" s="61" t="s">
        <v>280</v>
      </c>
      <c r="L1" s="61" t="s">
        <v>281</v>
      </c>
      <c r="M1" s="61" t="s">
        <v>282</v>
      </c>
      <c r="N1" s="61" t="s">
        <v>283</v>
      </c>
      <c r="O1" s="61" t="s">
        <v>284</v>
      </c>
      <c r="Q1" s="77" t="s">
        <v>287</v>
      </c>
    </row>
    <row r="2" spans="2:19" s="62" customFormat="1" ht="23.25" customHeight="1">
      <c r="B2" s="63">
        <v>1897</v>
      </c>
      <c r="C2" s="63" t="s">
        <v>285</v>
      </c>
      <c r="D2" s="63" t="s">
        <v>286</v>
      </c>
      <c r="E2" s="64" t="s">
        <v>287</v>
      </c>
      <c r="F2" s="64" t="s">
        <v>287</v>
      </c>
      <c r="G2" s="64" t="s">
        <v>287</v>
      </c>
      <c r="H2" s="64" t="s">
        <v>287</v>
      </c>
      <c r="I2" s="64" t="s">
        <v>287</v>
      </c>
      <c r="J2" s="64" t="s">
        <v>287</v>
      </c>
      <c r="K2" s="65" t="s">
        <v>288</v>
      </c>
      <c r="L2" s="64" t="s">
        <v>287</v>
      </c>
      <c r="M2" s="65" t="s">
        <v>288</v>
      </c>
      <c r="N2" s="66" t="s">
        <v>287</v>
      </c>
      <c r="O2" s="67" t="s">
        <v>289</v>
      </c>
    </row>
    <row r="3" spans="2:19" s="62" customFormat="1" ht="23.25" customHeight="1">
      <c r="B3" s="68">
        <v>468</v>
      </c>
      <c r="C3" s="68" t="s">
        <v>290</v>
      </c>
      <c r="D3" s="69" t="s">
        <v>286</v>
      </c>
      <c r="E3" s="67" t="s">
        <v>287</v>
      </c>
      <c r="F3" s="67" t="s">
        <v>287</v>
      </c>
      <c r="G3" s="67" t="s">
        <v>287</v>
      </c>
      <c r="H3" s="67" t="s">
        <v>287</v>
      </c>
      <c r="I3" s="67" t="s">
        <v>287</v>
      </c>
      <c r="J3" s="67" t="s">
        <v>287</v>
      </c>
      <c r="K3" s="70" t="s">
        <v>288</v>
      </c>
      <c r="L3" s="67" t="s">
        <v>287</v>
      </c>
      <c r="M3" s="70" t="s">
        <v>288</v>
      </c>
      <c r="N3" s="66" t="s">
        <v>287</v>
      </c>
      <c r="O3" s="67" t="s">
        <v>289</v>
      </c>
      <c r="Q3" s="78" t="s">
        <v>274</v>
      </c>
      <c r="R3" s="62">
        <f>COUNTIF(E:E,Q1)</f>
        <v>89</v>
      </c>
    </row>
    <row r="4" spans="2:19" s="62" customFormat="1" ht="23.25" customHeight="1">
      <c r="B4" s="68">
        <v>1536</v>
      </c>
      <c r="C4" s="68" t="s">
        <v>291</v>
      </c>
      <c r="D4" s="69" t="s">
        <v>292</v>
      </c>
      <c r="E4" s="70" t="s">
        <v>288</v>
      </c>
      <c r="F4" s="70" t="s">
        <v>288</v>
      </c>
      <c r="G4" s="70" t="s">
        <v>288</v>
      </c>
      <c r="H4" s="70" t="s">
        <v>288</v>
      </c>
      <c r="I4" s="70" t="s">
        <v>288</v>
      </c>
      <c r="J4" s="67" t="s">
        <v>287</v>
      </c>
      <c r="K4" s="70" t="s">
        <v>288</v>
      </c>
      <c r="L4" s="67" t="s">
        <v>287</v>
      </c>
      <c r="M4" s="70" t="s">
        <v>288</v>
      </c>
      <c r="N4" s="66" t="s">
        <v>287</v>
      </c>
      <c r="O4" s="67" t="s">
        <v>289</v>
      </c>
      <c r="Q4" s="78" t="s">
        <v>275</v>
      </c>
      <c r="R4" s="62">
        <f t="shared" ref="R4:R12" si="0">COUNTIF(E:E,Q2)</f>
        <v>0</v>
      </c>
      <c r="S4" s="62">
        <f>MATCH(Q4,Table13[[#Headers],[Genel Sağlık Paneli]:[Üroloji Panel ]])</f>
        <v>2</v>
      </c>
    </row>
    <row r="5" spans="2:19" s="62" customFormat="1" ht="23.25" customHeight="1">
      <c r="B5" s="68">
        <v>3298</v>
      </c>
      <c r="C5" s="68" t="s">
        <v>293</v>
      </c>
      <c r="D5" s="69" t="s">
        <v>292</v>
      </c>
      <c r="E5" s="67" t="s">
        <v>287</v>
      </c>
      <c r="F5" s="67" t="s">
        <v>287</v>
      </c>
      <c r="G5" s="67" t="s">
        <v>287</v>
      </c>
      <c r="H5" s="67" t="s">
        <v>287</v>
      </c>
      <c r="I5" s="67" t="s">
        <v>287</v>
      </c>
      <c r="J5" s="67" t="s">
        <v>287</v>
      </c>
      <c r="K5" s="70" t="s">
        <v>288</v>
      </c>
      <c r="L5" s="67" t="s">
        <v>287</v>
      </c>
      <c r="M5" s="70" t="s">
        <v>288</v>
      </c>
      <c r="N5" s="66" t="s">
        <v>287</v>
      </c>
      <c r="O5" s="67" t="s">
        <v>289</v>
      </c>
      <c r="Q5" s="78" t="s">
        <v>276</v>
      </c>
      <c r="R5" s="62">
        <f t="shared" si="0"/>
        <v>1</v>
      </c>
    </row>
    <row r="6" spans="2:19" s="62" customFormat="1" ht="23.25" customHeight="1">
      <c r="B6" s="68">
        <v>3656</v>
      </c>
      <c r="C6" s="68" t="s">
        <v>294</v>
      </c>
      <c r="D6" s="69" t="s">
        <v>292</v>
      </c>
      <c r="E6" s="67" t="s">
        <v>287</v>
      </c>
      <c r="F6" s="67" t="s">
        <v>287</v>
      </c>
      <c r="G6" s="67" t="s">
        <v>287</v>
      </c>
      <c r="H6" s="67" t="s">
        <v>287</v>
      </c>
      <c r="I6" s="67" t="s">
        <v>287</v>
      </c>
      <c r="J6" s="67" t="s">
        <v>287</v>
      </c>
      <c r="K6" s="70" t="s">
        <v>288</v>
      </c>
      <c r="L6" s="67" t="s">
        <v>287</v>
      </c>
      <c r="M6" s="70" t="s">
        <v>288</v>
      </c>
      <c r="N6" s="66" t="s">
        <v>287</v>
      </c>
      <c r="O6" s="67" t="s">
        <v>289</v>
      </c>
      <c r="Q6" s="78" t="s">
        <v>277</v>
      </c>
      <c r="R6" s="62">
        <f t="shared" si="0"/>
        <v>0</v>
      </c>
    </row>
    <row r="7" spans="2:19" s="62" customFormat="1" ht="23.25" customHeight="1">
      <c r="B7" s="68">
        <v>36</v>
      </c>
      <c r="C7" s="68" t="s">
        <v>295</v>
      </c>
      <c r="D7" s="69" t="s">
        <v>292</v>
      </c>
      <c r="E7" s="67" t="s">
        <v>287</v>
      </c>
      <c r="F7" s="67" t="s">
        <v>287</v>
      </c>
      <c r="G7" s="67" t="s">
        <v>287</v>
      </c>
      <c r="H7" s="67" t="s">
        <v>287</v>
      </c>
      <c r="I7" s="67" t="s">
        <v>287</v>
      </c>
      <c r="J7" s="67" t="s">
        <v>287</v>
      </c>
      <c r="K7" s="70" t="s">
        <v>288</v>
      </c>
      <c r="L7" s="67" t="s">
        <v>287</v>
      </c>
      <c r="M7" s="70" t="s">
        <v>288</v>
      </c>
      <c r="N7" s="66" t="s">
        <v>287</v>
      </c>
      <c r="O7" s="67" t="s">
        <v>289</v>
      </c>
      <c r="Q7" s="78" t="s">
        <v>278</v>
      </c>
      <c r="R7" s="62">
        <f t="shared" si="0"/>
        <v>0</v>
      </c>
    </row>
    <row r="8" spans="2:19" s="62" customFormat="1" ht="23.25" customHeight="1">
      <c r="B8" s="68">
        <v>4633</v>
      </c>
      <c r="C8" s="68" t="s">
        <v>296</v>
      </c>
      <c r="D8" s="68" t="s">
        <v>292</v>
      </c>
      <c r="E8" s="67" t="s">
        <v>287</v>
      </c>
      <c r="F8" s="67" t="s">
        <v>287</v>
      </c>
      <c r="G8" s="67" t="s">
        <v>287</v>
      </c>
      <c r="H8" s="67" t="s">
        <v>287</v>
      </c>
      <c r="I8" s="67" t="s">
        <v>287</v>
      </c>
      <c r="J8" s="67" t="s">
        <v>287</v>
      </c>
      <c r="K8" s="70" t="s">
        <v>288</v>
      </c>
      <c r="L8" s="67" t="s">
        <v>287</v>
      </c>
      <c r="M8" s="67" t="s">
        <v>287</v>
      </c>
      <c r="N8" s="66" t="s">
        <v>287</v>
      </c>
      <c r="O8" s="67" t="s">
        <v>289</v>
      </c>
      <c r="Q8" s="78" t="s">
        <v>279</v>
      </c>
      <c r="R8" s="62">
        <f t="shared" si="0"/>
        <v>0</v>
      </c>
    </row>
    <row r="9" spans="2:19" s="62" customFormat="1" ht="23.25" customHeight="1">
      <c r="B9" s="68">
        <v>5756</v>
      </c>
      <c r="C9" s="68" t="s">
        <v>297</v>
      </c>
      <c r="D9" s="69" t="s">
        <v>292</v>
      </c>
      <c r="E9" s="67" t="s">
        <v>287</v>
      </c>
      <c r="F9" s="67" t="s">
        <v>287</v>
      </c>
      <c r="G9" s="67" t="s">
        <v>287</v>
      </c>
      <c r="H9" s="67" t="s">
        <v>287</v>
      </c>
      <c r="I9" s="67" t="s">
        <v>287</v>
      </c>
      <c r="J9" s="67" t="s">
        <v>287</v>
      </c>
      <c r="K9" s="70" t="s">
        <v>288</v>
      </c>
      <c r="L9" s="67" t="s">
        <v>287</v>
      </c>
      <c r="M9" s="67" t="s">
        <v>287</v>
      </c>
      <c r="N9" s="66" t="s">
        <v>287</v>
      </c>
      <c r="O9" s="67" t="s">
        <v>289</v>
      </c>
      <c r="Q9" s="78" t="s">
        <v>280</v>
      </c>
      <c r="R9" s="62">
        <f t="shared" si="0"/>
        <v>0</v>
      </c>
    </row>
    <row r="10" spans="2:19" s="62" customFormat="1" ht="23.25" customHeight="1">
      <c r="B10" s="68">
        <v>3730</v>
      </c>
      <c r="C10" s="68" t="s">
        <v>298</v>
      </c>
      <c r="D10" s="69" t="s">
        <v>299</v>
      </c>
      <c r="E10" s="67" t="s">
        <v>287</v>
      </c>
      <c r="F10" s="67" t="s">
        <v>287</v>
      </c>
      <c r="G10" s="67" t="s">
        <v>287</v>
      </c>
      <c r="H10" s="67" t="s">
        <v>287</v>
      </c>
      <c r="I10" s="67" t="s">
        <v>287</v>
      </c>
      <c r="J10" s="67" t="s">
        <v>287</v>
      </c>
      <c r="K10" s="70" t="s">
        <v>288</v>
      </c>
      <c r="L10" s="67" t="s">
        <v>287</v>
      </c>
      <c r="M10" s="70" t="s">
        <v>288</v>
      </c>
      <c r="N10" s="66" t="s">
        <v>287</v>
      </c>
      <c r="O10" s="67" t="s">
        <v>289</v>
      </c>
      <c r="Q10" s="78" t="s">
        <v>281</v>
      </c>
      <c r="R10" s="62">
        <f t="shared" si="0"/>
        <v>0</v>
      </c>
    </row>
    <row r="11" spans="2:19" s="62" customFormat="1" ht="23.25" customHeight="1">
      <c r="B11" s="68">
        <v>5496</v>
      </c>
      <c r="C11" s="68" t="s">
        <v>300</v>
      </c>
      <c r="D11" s="69" t="s">
        <v>299</v>
      </c>
      <c r="E11" s="67" t="s">
        <v>287</v>
      </c>
      <c r="F11" s="67" t="s">
        <v>287</v>
      </c>
      <c r="G11" s="67" t="s">
        <v>287</v>
      </c>
      <c r="H11" s="67" t="s">
        <v>287</v>
      </c>
      <c r="I11" s="67" t="s">
        <v>287</v>
      </c>
      <c r="J11" s="67" t="s">
        <v>287</v>
      </c>
      <c r="K11" s="70" t="s">
        <v>288</v>
      </c>
      <c r="L11" s="67" t="s">
        <v>287</v>
      </c>
      <c r="M11" s="70" t="s">
        <v>288</v>
      </c>
      <c r="N11" s="66" t="s">
        <v>287</v>
      </c>
      <c r="O11" s="67" t="s">
        <v>289</v>
      </c>
      <c r="Q11" s="78" t="s">
        <v>282</v>
      </c>
      <c r="R11" s="62">
        <f t="shared" si="0"/>
        <v>0</v>
      </c>
    </row>
    <row r="12" spans="2:19" s="62" customFormat="1" ht="23.25" customHeight="1">
      <c r="B12" s="68">
        <v>1752</v>
      </c>
      <c r="C12" s="68" t="s">
        <v>301</v>
      </c>
      <c r="D12" s="69" t="s">
        <v>299</v>
      </c>
      <c r="E12" s="67" t="s">
        <v>287</v>
      </c>
      <c r="F12" s="67" t="s">
        <v>287</v>
      </c>
      <c r="G12" s="67" t="s">
        <v>287</v>
      </c>
      <c r="H12" s="67" t="s">
        <v>287</v>
      </c>
      <c r="I12" s="67" t="s">
        <v>287</v>
      </c>
      <c r="J12" s="67" t="s">
        <v>287</v>
      </c>
      <c r="K12" s="70" t="s">
        <v>288</v>
      </c>
      <c r="L12" s="67" t="s">
        <v>287</v>
      </c>
      <c r="M12" s="67" t="s">
        <v>287</v>
      </c>
      <c r="N12" s="66" t="s">
        <v>287</v>
      </c>
      <c r="O12" s="67" t="s">
        <v>289</v>
      </c>
      <c r="Q12" s="78" t="s">
        <v>283</v>
      </c>
      <c r="R12" s="62">
        <f t="shared" si="0"/>
        <v>0</v>
      </c>
    </row>
    <row r="13" spans="2:19" s="62" customFormat="1" ht="23.25" customHeight="1">
      <c r="B13" s="68">
        <v>3222</v>
      </c>
      <c r="C13" s="68" t="s">
        <v>302</v>
      </c>
      <c r="D13" s="68" t="s">
        <v>299</v>
      </c>
      <c r="E13" s="67" t="s">
        <v>287</v>
      </c>
      <c r="F13" s="67" t="s">
        <v>287</v>
      </c>
      <c r="G13" s="67" t="s">
        <v>287</v>
      </c>
      <c r="H13" s="67" t="s">
        <v>287</v>
      </c>
      <c r="I13" s="67" t="s">
        <v>287</v>
      </c>
      <c r="J13" s="67" t="s">
        <v>287</v>
      </c>
      <c r="K13" s="70" t="s">
        <v>288</v>
      </c>
      <c r="L13" s="67" t="s">
        <v>287</v>
      </c>
      <c r="M13" s="70" t="s">
        <v>288</v>
      </c>
      <c r="N13" s="66" t="s">
        <v>287</v>
      </c>
      <c r="O13" s="67" t="s">
        <v>289</v>
      </c>
    </row>
    <row r="14" spans="2:19" s="62" customFormat="1" ht="23.25" customHeight="1">
      <c r="B14" s="68">
        <v>3729</v>
      </c>
      <c r="C14" s="68" t="s">
        <v>303</v>
      </c>
      <c r="D14" s="69" t="s">
        <v>299</v>
      </c>
      <c r="E14" s="67" t="s">
        <v>287</v>
      </c>
      <c r="F14" s="67" t="s">
        <v>287</v>
      </c>
      <c r="G14" s="67" t="s">
        <v>287</v>
      </c>
      <c r="H14" s="67" t="s">
        <v>287</v>
      </c>
      <c r="I14" s="67" t="s">
        <v>287</v>
      </c>
      <c r="J14" s="67" t="s">
        <v>287</v>
      </c>
      <c r="K14" s="70" t="s">
        <v>288</v>
      </c>
      <c r="L14" s="67" t="s">
        <v>287</v>
      </c>
      <c r="M14" s="70" t="s">
        <v>288</v>
      </c>
      <c r="N14" s="66" t="s">
        <v>287</v>
      </c>
      <c r="O14" s="67" t="s">
        <v>289</v>
      </c>
    </row>
    <row r="15" spans="2:19" s="62" customFormat="1" ht="23.25" customHeight="1">
      <c r="B15" s="68">
        <v>999</v>
      </c>
      <c r="C15" s="68" t="s">
        <v>304</v>
      </c>
      <c r="D15" s="69" t="s">
        <v>299</v>
      </c>
      <c r="E15" s="67" t="s">
        <v>287</v>
      </c>
      <c r="F15" s="67" t="s">
        <v>287</v>
      </c>
      <c r="G15" s="67" t="s">
        <v>287</v>
      </c>
      <c r="H15" s="67" t="s">
        <v>287</v>
      </c>
      <c r="I15" s="67" t="s">
        <v>287</v>
      </c>
      <c r="J15" s="67" t="s">
        <v>287</v>
      </c>
      <c r="K15" s="70" t="s">
        <v>288</v>
      </c>
      <c r="L15" s="67" t="s">
        <v>287</v>
      </c>
      <c r="M15" s="70" t="s">
        <v>288</v>
      </c>
      <c r="N15" s="66" t="s">
        <v>287</v>
      </c>
      <c r="O15" s="67" t="s">
        <v>289</v>
      </c>
    </row>
    <row r="16" spans="2:19" s="62" customFormat="1" ht="23.25" customHeight="1">
      <c r="B16" s="68">
        <v>2630</v>
      </c>
      <c r="C16" s="68" t="s">
        <v>305</v>
      </c>
      <c r="D16" s="69" t="s">
        <v>299</v>
      </c>
      <c r="E16" s="67" t="s">
        <v>287</v>
      </c>
      <c r="F16" s="67" t="s">
        <v>287</v>
      </c>
      <c r="G16" s="67" t="s">
        <v>287</v>
      </c>
      <c r="H16" s="67" t="s">
        <v>287</v>
      </c>
      <c r="I16" s="67" t="s">
        <v>287</v>
      </c>
      <c r="J16" s="67" t="s">
        <v>287</v>
      </c>
      <c r="K16" s="70" t="s">
        <v>288</v>
      </c>
      <c r="L16" s="67" t="s">
        <v>287</v>
      </c>
      <c r="M16" s="70" t="s">
        <v>288</v>
      </c>
      <c r="N16" s="66" t="s">
        <v>287</v>
      </c>
      <c r="O16" s="67" t="s">
        <v>289</v>
      </c>
    </row>
    <row r="17" spans="2:15" s="62" customFormat="1" ht="23.25" customHeight="1">
      <c r="B17" s="68">
        <v>1076</v>
      </c>
      <c r="C17" s="68" t="s">
        <v>306</v>
      </c>
      <c r="D17" s="69" t="s">
        <v>307</v>
      </c>
      <c r="E17" s="67" t="s">
        <v>287</v>
      </c>
      <c r="F17" s="67" t="s">
        <v>287</v>
      </c>
      <c r="G17" s="67" t="s">
        <v>287</v>
      </c>
      <c r="H17" s="67" t="s">
        <v>287</v>
      </c>
      <c r="I17" s="67" t="s">
        <v>287</v>
      </c>
      <c r="J17" s="67" t="s">
        <v>287</v>
      </c>
      <c r="K17" s="70" t="s">
        <v>288</v>
      </c>
      <c r="L17" s="67" t="s">
        <v>287</v>
      </c>
      <c r="M17" s="67" t="s">
        <v>287</v>
      </c>
      <c r="N17" s="66" t="s">
        <v>287</v>
      </c>
      <c r="O17" s="67" t="s">
        <v>289</v>
      </c>
    </row>
    <row r="18" spans="2:15" s="62" customFormat="1" ht="23.25" customHeight="1">
      <c r="B18" s="68">
        <v>1464</v>
      </c>
      <c r="C18" s="68" t="s">
        <v>308</v>
      </c>
      <c r="D18" s="69" t="s">
        <v>309</v>
      </c>
      <c r="E18" s="67" t="s">
        <v>287</v>
      </c>
      <c r="F18" s="67" t="s">
        <v>287</v>
      </c>
      <c r="G18" s="67" t="s">
        <v>287</v>
      </c>
      <c r="H18" s="67" t="s">
        <v>287</v>
      </c>
      <c r="I18" s="67" t="s">
        <v>287</v>
      </c>
      <c r="J18" s="67" t="s">
        <v>287</v>
      </c>
      <c r="K18" s="70" t="s">
        <v>288</v>
      </c>
      <c r="L18" s="67" t="s">
        <v>287</v>
      </c>
      <c r="M18" s="67" t="s">
        <v>287</v>
      </c>
      <c r="N18" s="66" t="s">
        <v>287</v>
      </c>
      <c r="O18" s="67" t="s">
        <v>289</v>
      </c>
    </row>
    <row r="19" spans="2:15" s="62" customFormat="1" ht="23.25" customHeight="1">
      <c r="B19" s="68">
        <v>996</v>
      </c>
      <c r="C19" s="68" t="s">
        <v>310</v>
      </c>
      <c r="D19" s="68" t="s">
        <v>311</v>
      </c>
      <c r="E19" s="67" t="s">
        <v>287</v>
      </c>
      <c r="F19" s="67" t="s">
        <v>287</v>
      </c>
      <c r="G19" s="67" t="s">
        <v>287</v>
      </c>
      <c r="H19" s="67" t="s">
        <v>287</v>
      </c>
      <c r="I19" s="67" t="s">
        <v>287</v>
      </c>
      <c r="J19" s="67" t="s">
        <v>287</v>
      </c>
      <c r="K19" s="70" t="s">
        <v>288</v>
      </c>
      <c r="L19" s="67" t="s">
        <v>287</v>
      </c>
      <c r="M19" s="70" t="s">
        <v>288</v>
      </c>
      <c r="N19" s="66" t="s">
        <v>287</v>
      </c>
      <c r="O19" s="67" t="s">
        <v>289</v>
      </c>
    </row>
    <row r="20" spans="2:15" s="62" customFormat="1" ht="23.25" customHeight="1">
      <c r="B20" s="68">
        <v>1020</v>
      </c>
      <c r="C20" s="68" t="s">
        <v>312</v>
      </c>
      <c r="D20" s="68" t="s">
        <v>313</v>
      </c>
      <c r="E20" s="67" t="s">
        <v>287</v>
      </c>
      <c r="F20" s="67" t="s">
        <v>287</v>
      </c>
      <c r="G20" s="67" t="s">
        <v>287</v>
      </c>
      <c r="H20" s="67" t="s">
        <v>287</v>
      </c>
      <c r="I20" s="67" t="s">
        <v>287</v>
      </c>
      <c r="J20" s="67" t="s">
        <v>287</v>
      </c>
      <c r="K20" s="70" t="s">
        <v>288</v>
      </c>
      <c r="L20" s="67" t="s">
        <v>287</v>
      </c>
      <c r="M20" s="70" t="s">
        <v>288</v>
      </c>
      <c r="N20" s="66" t="s">
        <v>287</v>
      </c>
      <c r="O20" s="67" t="s">
        <v>289</v>
      </c>
    </row>
    <row r="21" spans="2:15" s="62" customFormat="1" ht="23.25" customHeight="1">
      <c r="B21" s="68">
        <v>3294</v>
      </c>
      <c r="C21" s="68" t="s">
        <v>314</v>
      </c>
      <c r="D21" s="69" t="s">
        <v>315</v>
      </c>
      <c r="E21" s="67" t="s">
        <v>287</v>
      </c>
      <c r="F21" s="67" t="s">
        <v>287</v>
      </c>
      <c r="G21" s="67" t="s">
        <v>287</v>
      </c>
      <c r="H21" s="67" t="s">
        <v>287</v>
      </c>
      <c r="I21" s="67" t="s">
        <v>287</v>
      </c>
      <c r="J21" s="67" t="s">
        <v>287</v>
      </c>
      <c r="K21" s="70" t="s">
        <v>288</v>
      </c>
      <c r="L21" s="67" t="s">
        <v>287</v>
      </c>
      <c r="M21" s="70" t="s">
        <v>288</v>
      </c>
      <c r="N21" s="66" t="s">
        <v>287</v>
      </c>
      <c r="O21" s="67" t="s">
        <v>289</v>
      </c>
    </row>
    <row r="22" spans="2:15" s="62" customFormat="1" ht="23.25" customHeight="1">
      <c r="B22" s="68">
        <v>3253</v>
      </c>
      <c r="C22" s="68" t="s">
        <v>316</v>
      </c>
      <c r="D22" s="69" t="s">
        <v>317</v>
      </c>
      <c r="E22" s="67" t="s">
        <v>287</v>
      </c>
      <c r="F22" s="67" t="s">
        <v>287</v>
      </c>
      <c r="G22" s="67" t="s">
        <v>287</v>
      </c>
      <c r="H22" s="67" t="s">
        <v>287</v>
      </c>
      <c r="I22" s="67" t="s">
        <v>287</v>
      </c>
      <c r="J22" s="67" t="s">
        <v>287</v>
      </c>
      <c r="K22" s="70" t="s">
        <v>288</v>
      </c>
      <c r="L22" s="67" t="s">
        <v>287</v>
      </c>
      <c r="M22" s="67" t="s">
        <v>287</v>
      </c>
      <c r="N22" s="66" t="s">
        <v>287</v>
      </c>
      <c r="O22" s="67" t="s">
        <v>289</v>
      </c>
    </row>
    <row r="23" spans="2:15" s="62" customFormat="1" ht="23.25" customHeight="1">
      <c r="B23" s="68">
        <v>3024</v>
      </c>
      <c r="C23" s="68" t="s">
        <v>318</v>
      </c>
      <c r="D23" s="68" t="s">
        <v>319</v>
      </c>
      <c r="E23" s="67" t="s">
        <v>287</v>
      </c>
      <c r="F23" s="67" t="s">
        <v>287</v>
      </c>
      <c r="G23" s="67" t="s">
        <v>287</v>
      </c>
      <c r="H23" s="67" t="s">
        <v>287</v>
      </c>
      <c r="I23" s="67" t="s">
        <v>287</v>
      </c>
      <c r="J23" s="67" t="s">
        <v>287</v>
      </c>
      <c r="K23" s="70" t="s">
        <v>288</v>
      </c>
      <c r="L23" s="67" t="s">
        <v>287</v>
      </c>
      <c r="M23" s="70" t="s">
        <v>288</v>
      </c>
      <c r="N23" s="66" t="s">
        <v>287</v>
      </c>
      <c r="O23" s="67" t="s">
        <v>289</v>
      </c>
    </row>
    <row r="24" spans="2:15" s="62" customFormat="1" ht="23.25" customHeight="1">
      <c r="B24" s="68">
        <v>1723</v>
      </c>
      <c r="C24" s="68" t="s">
        <v>320</v>
      </c>
      <c r="D24" s="69" t="s">
        <v>321</v>
      </c>
      <c r="E24" s="67" t="s">
        <v>287</v>
      </c>
      <c r="F24" s="67" t="s">
        <v>287</v>
      </c>
      <c r="G24" s="67" t="s">
        <v>287</v>
      </c>
      <c r="H24" s="67" t="s">
        <v>287</v>
      </c>
      <c r="I24" s="67" t="s">
        <v>287</v>
      </c>
      <c r="J24" s="67" t="s">
        <v>287</v>
      </c>
      <c r="K24" s="70" t="s">
        <v>288</v>
      </c>
      <c r="L24" s="67" t="s">
        <v>287</v>
      </c>
      <c r="M24" s="67" t="s">
        <v>287</v>
      </c>
      <c r="N24" s="66" t="s">
        <v>287</v>
      </c>
      <c r="O24" s="67" t="s">
        <v>289</v>
      </c>
    </row>
    <row r="25" spans="2:15" s="62" customFormat="1" ht="23.25" customHeight="1">
      <c r="B25" s="68">
        <v>1901</v>
      </c>
      <c r="C25" s="68" t="s">
        <v>322</v>
      </c>
      <c r="D25" s="69" t="s">
        <v>323</v>
      </c>
      <c r="E25" s="67" t="s">
        <v>287</v>
      </c>
      <c r="F25" s="67" t="s">
        <v>287</v>
      </c>
      <c r="G25" s="67" t="s">
        <v>287</v>
      </c>
      <c r="H25" s="67" t="s">
        <v>287</v>
      </c>
      <c r="I25" s="67" t="s">
        <v>287</v>
      </c>
      <c r="J25" s="67" t="s">
        <v>287</v>
      </c>
      <c r="K25" s="70" t="s">
        <v>288</v>
      </c>
      <c r="L25" s="67" t="s">
        <v>287</v>
      </c>
      <c r="M25" s="70" t="s">
        <v>288</v>
      </c>
      <c r="N25" s="66" t="s">
        <v>287</v>
      </c>
      <c r="O25" s="67" t="s">
        <v>289</v>
      </c>
    </row>
    <row r="26" spans="2:15" s="62" customFormat="1" ht="23.25" customHeight="1">
      <c r="B26" s="68">
        <v>1657</v>
      </c>
      <c r="C26" s="68" t="s">
        <v>324</v>
      </c>
      <c r="D26" s="69" t="s">
        <v>323</v>
      </c>
      <c r="E26" s="67" t="s">
        <v>287</v>
      </c>
      <c r="F26" s="67" t="s">
        <v>287</v>
      </c>
      <c r="G26" s="67" t="s">
        <v>287</v>
      </c>
      <c r="H26" s="67" t="s">
        <v>287</v>
      </c>
      <c r="I26" s="67" t="s">
        <v>287</v>
      </c>
      <c r="J26" s="67" t="s">
        <v>287</v>
      </c>
      <c r="K26" s="70" t="s">
        <v>288</v>
      </c>
      <c r="L26" s="67" t="s">
        <v>287</v>
      </c>
      <c r="M26" s="67" t="s">
        <v>287</v>
      </c>
      <c r="N26" s="66" t="s">
        <v>287</v>
      </c>
      <c r="O26" s="67" t="s">
        <v>289</v>
      </c>
    </row>
    <row r="27" spans="2:15" s="62" customFormat="1" ht="23.25" customHeight="1">
      <c r="B27" s="68">
        <v>1540</v>
      </c>
      <c r="C27" s="68" t="s">
        <v>325</v>
      </c>
      <c r="D27" s="69" t="s">
        <v>323</v>
      </c>
      <c r="E27" s="67" t="s">
        <v>287</v>
      </c>
      <c r="F27" s="67" t="s">
        <v>287</v>
      </c>
      <c r="G27" s="67" t="s">
        <v>287</v>
      </c>
      <c r="H27" s="67" t="s">
        <v>287</v>
      </c>
      <c r="I27" s="67" t="s">
        <v>287</v>
      </c>
      <c r="J27" s="67" t="s">
        <v>287</v>
      </c>
      <c r="K27" s="70" t="s">
        <v>288</v>
      </c>
      <c r="L27" s="67" t="s">
        <v>287</v>
      </c>
      <c r="M27" s="70" t="s">
        <v>288</v>
      </c>
      <c r="N27" s="66" t="s">
        <v>287</v>
      </c>
      <c r="O27" s="67" t="s">
        <v>289</v>
      </c>
    </row>
    <row r="28" spans="2:15" s="62" customFormat="1" ht="23.25" customHeight="1">
      <c r="B28" s="68">
        <v>1476</v>
      </c>
      <c r="C28" s="68" t="s">
        <v>326</v>
      </c>
      <c r="D28" s="68" t="s">
        <v>323</v>
      </c>
      <c r="E28" s="67" t="s">
        <v>287</v>
      </c>
      <c r="F28" s="67" t="s">
        <v>287</v>
      </c>
      <c r="G28" s="67" t="s">
        <v>287</v>
      </c>
      <c r="H28" s="67" t="s">
        <v>287</v>
      </c>
      <c r="I28" s="67" t="s">
        <v>287</v>
      </c>
      <c r="J28" s="67" t="s">
        <v>287</v>
      </c>
      <c r="K28" s="70" t="s">
        <v>288</v>
      </c>
      <c r="L28" s="67" t="s">
        <v>287</v>
      </c>
      <c r="M28" s="70" t="s">
        <v>288</v>
      </c>
      <c r="N28" s="66" t="s">
        <v>287</v>
      </c>
      <c r="O28" s="67" t="s">
        <v>289</v>
      </c>
    </row>
    <row r="29" spans="2:15" s="62" customFormat="1" ht="23.25" customHeight="1">
      <c r="B29" s="68">
        <v>28</v>
      </c>
      <c r="C29" s="68" t="s">
        <v>327</v>
      </c>
      <c r="D29" s="68" t="s">
        <v>323</v>
      </c>
      <c r="E29" s="67" t="s">
        <v>287</v>
      </c>
      <c r="F29" s="67" t="s">
        <v>287</v>
      </c>
      <c r="G29" s="67" t="s">
        <v>287</v>
      </c>
      <c r="H29" s="67" t="s">
        <v>287</v>
      </c>
      <c r="I29" s="67" t="s">
        <v>287</v>
      </c>
      <c r="J29" s="67" t="s">
        <v>287</v>
      </c>
      <c r="K29" s="70" t="s">
        <v>288</v>
      </c>
      <c r="L29" s="67" t="s">
        <v>287</v>
      </c>
      <c r="M29" s="70" t="s">
        <v>288</v>
      </c>
      <c r="N29" s="66" t="s">
        <v>287</v>
      </c>
      <c r="O29" s="67" t="s">
        <v>289</v>
      </c>
    </row>
    <row r="30" spans="2:15" s="62" customFormat="1" ht="23.25" customHeight="1">
      <c r="B30" s="68">
        <v>423</v>
      </c>
      <c r="C30" s="68" t="s">
        <v>328</v>
      </c>
      <c r="D30" s="68" t="s">
        <v>323</v>
      </c>
      <c r="E30" s="67" t="s">
        <v>287</v>
      </c>
      <c r="F30" s="67" t="s">
        <v>287</v>
      </c>
      <c r="G30" s="67" t="s">
        <v>287</v>
      </c>
      <c r="H30" s="67" t="s">
        <v>287</v>
      </c>
      <c r="I30" s="67" t="s">
        <v>287</v>
      </c>
      <c r="J30" s="67" t="s">
        <v>287</v>
      </c>
      <c r="K30" s="70" t="s">
        <v>288</v>
      </c>
      <c r="L30" s="67" t="s">
        <v>287</v>
      </c>
      <c r="M30" s="70" t="s">
        <v>288</v>
      </c>
      <c r="N30" s="66" t="s">
        <v>287</v>
      </c>
      <c r="O30" s="67" t="s">
        <v>289</v>
      </c>
    </row>
    <row r="31" spans="2:15" s="62" customFormat="1" ht="23.25" customHeight="1">
      <c r="B31" s="68">
        <v>4536</v>
      </c>
      <c r="C31" s="68" t="s">
        <v>329</v>
      </c>
      <c r="D31" s="69" t="s">
        <v>323</v>
      </c>
      <c r="E31" s="67" t="s">
        <v>287</v>
      </c>
      <c r="F31" s="67" t="s">
        <v>287</v>
      </c>
      <c r="G31" s="67" t="s">
        <v>287</v>
      </c>
      <c r="H31" s="67" t="s">
        <v>287</v>
      </c>
      <c r="I31" s="67" t="s">
        <v>287</v>
      </c>
      <c r="J31" s="67" t="s">
        <v>287</v>
      </c>
      <c r="K31" s="70" t="s">
        <v>288</v>
      </c>
      <c r="L31" s="67" t="s">
        <v>287</v>
      </c>
      <c r="M31" s="70" t="s">
        <v>288</v>
      </c>
      <c r="N31" s="66" t="s">
        <v>287</v>
      </c>
      <c r="O31" s="67" t="s">
        <v>289</v>
      </c>
    </row>
    <row r="32" spans="2:15" s="62" customFormat="1" ht="23.25" customHeight="1">
      <c r="B32" s="68">
        <v>1012</v>
      </c>
      <c r="C32" s="68" t="s">
        <v>330</v>
      </c>
      <c r="D32" s="68" t="s">
        <v>323</v>
      </c>
      <c r="E32" s="67" t="s">
        <v>287</v>
      </c>
      <c r="F32" s="67" t="s">
        <v>287</v>
      </c>
      <c r="G32" s="67" t="s">
        <v>287</v>
      </c>
      <c r="H32" s="67" t="s">
        <v>287</v>
      </c>
      <c r="I32" s="67" t="s">
        <v>287</v>
      </c>
      <c r="J32" s="67" t="s">
        <v>287</v>
      </c>
      <c r="K32" s="70" t="s">
        <v>288</v>
      </c>
      <c r="L32" s="67" t="s">
        <v>287</v>
      </c>
      <c r="M32" s="70" t="s">
        <v>288</v>
      </c>
      <c r="N32" s="66" t="s">
        <v>287</v>
      </c>
      <c r="O32" s="67" t="s">
        <v>289</v>
      </c>
    </row>
    <row r="33" spans="2:15" s="62" customFormat="1" ht="23.25" customHeight="1">
      <c r="B33" s="68">
        <v>76</v>
      </c>
      <c r="C33" s="68" t="s">
        <v>331</v>
      </c>
      <c r="D33" s="68" t="s">
        <v>323</v>
      </c>
      <c r="E33" s="67" t="s">
        <v>287</v>
      </c>
      <c r="F33" s="67" t="s">
        <v>287</v>
      </c>
      <c r="G33" s="67" t="s">
        <v>287</v>
      </c>
      <c r="H33" s="67" t="s">
        <v>287</v>
      </c>
      <c r="I33" s="67" t="s">
        <v>287</v>
      </c>
      <c r="J33" s="67" t="s">
        <v>287</v>
      </c>
      <c r="K33" s="70" t="s">
        <v>288</v>
      </c>
      <c r="L33" s="67" t="s">
        <v>287</v>
      </c>
      <c r="M33" s="70" t="s">
        <v>288</v>
      </c>
      <c r="N33" s="66" t="s">
        <v>287</v>
      </c>
      <c r="O33" s="67" t="s">
        <v>289</v>
      </c>
    </row>
    <row r="34" spans="2:15" s="62" customFormat="1" ht="23.25" customHeight="1">
      <c r="B34" s="68">
        <v>2642</v>
      </c>
      <c r="C34" s="68" t="s">
        <v>332</v>
      </c>
      <c r="D34" s="68" t="s">
        <v>323</v>
      </c>
      <c r="E34" s="67" t="s">
        <v>287</v>
      </c>
      <c r="F34" s="67" t="s">
        <v>287</v>
      </c>
      <c r="G34" s="67" t="s">
        <v>287</v>
      </c>
      <c r="H34" s="67" t="s">
        <v>287</v>
      </c>
      <c r="I34" s="67" t="s">
        <v>287</v>
      </c>
      <c r="J34" s="67" t="s">
        <v>287</v>
      </c>
      <c r="K34" s="70" t="s">
        <v>288</v>
      </c>
      <c r="L34" s="67" t="s">
        <v>287</v>
      </c>
      <c r="M34" s="70" t="s">
        <v>288</v>
      </c>
      <c r="N34" s="66" t="s">
        <v>287</v>
      </c>
      <c r="O34" s="67" t="s">
        <v>289</v>
      </c>
    </row>
    <row r="35" spans="2:15" s="62" customFormat="1" ht="23.25" customHeight="1">
      <c r="B35" s="68">
        <v>1187</v>
      </c>
      <c r="C35" s="68" t="s">
        <v>333</v>
      </c>
      <c r="D35" s="68" t="s">
        <v>323</v>
      </c>
      <c r="E35" s="67" t="s">
        <v>287</v>
      </c>
      <c r="F35" s="67" t="s">
        <v>287</v>
      </c>
      <c r="G35" s="67" t="s">
        <v>287</v>
      </c>
      <c r="H35" s="67" t="s">
        <v>287</v>
      </c>
      <c r="I35" s="67" t="s">
        <v>287</v>
      </c>
      <c r="J35" s="67" t="s">
        <v>287</v>
      </c>
      <c r="K35" s="70" t="s">
        <v>288</v>
      </c>
      <c r="L35" s="67" t="s">
        <v>287</v>
      </c>
      <c r="M35" s="70" t="s">
        <v>288</v>
      </c>
      <c r="N35" s="66" t="s">
        <v>287</v>
      </c>
      <c r="O35" s="67" t="s">
        <v>289</v>
      </c>
    </row>
    <row r="36" spans="2:15" s="62" customFormat="1" ht="23.25" customHeight="1">
      <c r="B36" s="68">
        <v>13</v>
      </c>
      <c r="C36" s="68" t="s">
        <v>334</v>
      </c>
      <c r="D36" s="68" t="s">
        <v>323</v>
      </c>
      <c r="E36" s="67" t="s">
        <v>287</v>
      </c>
      <c r="F36" s="67" t="s">
        <v>287</v>
      </c>
      <c r="G36" s="67" t="s">
        <v>287</v>
      </c>
      <c r="H36" s="67" t="s">
        <v>287</v>
      </c>
      <c r="I36" s="67" t="s">
        <v>287</v>
      </c>
      <c r="J36" s="67" t="s">
        <v>287</v>
      </c>
      <c r="K36" s="70" t="s">
        <v>288</v>
      </c>
      <c r="L36" s="67" t="s">
        <v>287</v>
      </c>
      <c r="M36" s="70" t="s">
        <v>288</v>
      </c>
      <c r="N36" s="66" t="s">
        <v>287</v>
      </c>
      <c r="O36" s="67" t="s">
        <v>289</v>
      </c>
    </row>
    <row r="37" spans="2:15" s="62" customFormat="1" ht="23.25" customHeight="1">
      <c r="B37" s="68">
        <v>3655</v>
      </c>
      <c r="C37" s="68" t="s">
        <v>335</v>
      </c>
      <c r="D37" s="69" t="s">
        <v>323</v>
      </c>
      <c r="E37" s="67" t="s">
        <v>287</v>
      </c>
      <c r="F37" s="67" t="s">
        <v>287</v>
      </c>
      <c r="G37" s="67" t="s">
        <v>287</v>
      </c>
      <c r="H37" s="67" t="s">
        <v>287</v>
      </c>
      <c r="I37" s="67" t="s">
        <v>287</v>
      </c>
      <c r="J37" s="67" t="s">
        <v>287</v>
      </c>
      <c r="K37" s="70" t="s">
        <v>288</v>
      </c>
      <c r="L37" s="67" t="s">
        <v>287</v>
      </c>
      <c r="M37" s="70" t="s">
        <v>288</v>
      </c>
      <c r="N37" s="66" t="s">
        <v>287</v>
      </c>
      <c r="O37" s="67" t="s">
        <v>289</v>
      </c>
    </row>
    <row r="38" spans="2:15" s="62" customFormat="1" ht="23.25" customHeight="1">
      <c r="B38" s="68">
        <v>10</v>
      </c>
      <c r="C38" s="68" t="s">
        <v>336</v>
      </c>
      <c r="D38" s="68" t="s">
        <v>323</v>
      </c>
      <c r="E38" s="67" t="s">
        <v>287</v>
      </c>
      <c r="F38" s="67" t="s">
        <v>287</v>
      </c>
      <c r="G38" s="67" t="s">
        <v>287</v>
      </c>
      <c r="H38" s="67" t="s">
        <v>287</v>
      </c>
      <c r="I38" s="67" t="s">
        <v>287</v>
      </c>
      <c r="J38" s="67" t="s">
        <v>287</v>
      </c>
      <c r="K38" s="70" t="s">
        <v>288</v>
      </c>
      <c r="L38" s="67" t="s">
        <v>287</v>
      </c>
      <c r="M38" s="70" t="s">
        <v>288</v>
      </c>
      <c r="N38" s="66" t="s">
        <v>287</v>
      </c>
      <c r="O38" s="67" t="s">
        <v>289</v>
      </c>
    </row>
    <row r="39" spans="2:15" s="62" customFormat="1" ht="23.25" customHeight="1">
      <c r="B39" s="68">
        <v>819</v>
      </c>
      <c r="C39" s="68" t="s">
        <v>337</v>
      </c>
      <c r="D39" s="68" t="s">
        <v>323</v>
      </c>
      <c r="E39" s="67" t="s">
        <v>287</v>
      </c>
      <c r="F39" s="67" t="s">
        <v>287</v>
      </c>
      <c r="G39" s="67" t="s">
        <v>287</v>
      </c>
      <c r="H39" s="67" t="s">
        <v>287</v>
      </c>
      <c r="I39" s="67" t="s">
        <v>287</v>
      </c>
      <c r="J39" s="67" t="s">
        <v>287</v>
      </c>
      <c r="K39" s="70" t="s">
        <v>288</v>
      </c>
      <c r="L39" s="67" t="s">
        <v>287</v>
      </c>
      <c r="M39" s="70" t="s">
        <v>288</v>
      </c>
      <c r="N39" s="66" t="s">
        <v>287</v>
      </c>
      <c r="O39" s="67" t="s">
        <v>289</v>
      </c>
    </row>
    <row r="40" spans="2:15" s="62" customFormat="1" ht="23.25" customHeight="1">
      <c r="B40" s="68">
        <v>1750</v>
      </c>
      <c r="C40" s="68" t="s">
        <v>338</v>
      </c>
      <c r="D40" s="68" t="s">
        <v>323</v>
      </c>
      <c r="E40" s="67" t="s">
        <v>287</v>
      </c>
      <c r="F40" s="67" t="s">
        <v>287</v>
      </c>
      <c r="G40" s="67" t="s">
        <v>287</v>
      </c>
      <c r="H40" s="67" t="s">
        <v>287</v>
      </c>
      <c r="I40" s="67" t="s">
        <v>287</v>
      </c>
      <c r="J40" s="67" t="s">
        <v>287</v>
      </c>
      <c r="K40" s="70" t="s">
        <v>288</v>
      </c>
      <c r="L40" s="67" t="s">
        <v>287</v>
      </c>
      <c r="M40" s="70" t="s">
        <v>288</v>
      </c>
      <c r="N40" s="66" t="s">
        <v>287</v>
      </c>
      <c r="O40" s="67" t="s">
        <v>289</v>
      </c>
    </row>
    <row r="41" spans="2:15" s="62" customFormat="1" ht="23.25" customHeight="1">
      <c r="B41" s="68">
        <v>5244</v>
      </c>
      <c r="C41" s="68" t="s">
        <v>339</v>
      </c>
      <c r="D41" s="68" t="s">
        <v>323</v>
      </c>
      <c r="E41" s="67" t="s">
        <v>287</v>
      </c>
      <c r="F41" s="67" t="s">
        <v>287</v>
      </c>
      <c r="G41" s="67" t="s">
        <v>287</v>
      </c>
      <c r="H41" s="67" t="s">
        <v>287</v>
      </c>
      <c r="I41" s="67" t="s">
        <v>287</v>
      </c>
      <c r="J41" s="67" t="s">
        <v>287</v>
      </c>
      <c r="K41" s="70" t="s">
        <v>288</v>
      </c>
      <c r="L41" s="67" t="s">
        <v>287</v>
      </c>
      <c r="M41" s="70" t="s">
        <v>288</v>
      </c>
      <c r="N41" s="66" t="s">
        <v>287</v>
      </c>
      <c r="O41" s="67" t="s">
        <v>289</v>
      </c>
    </row>
    <row r="42" spans="2:15" s="62" customFormat="1" ht="23.25" customHeight="1">
      <c r="B42" s="68">
        <v>4977</v>
      </c>
      <c r="C42" s="68" t="s">
        <v>340</v>
      </c>
      <c r="D42" s="69" t="s">
        <v>323</v>
      </c>
      <c r="E42" s="67" t="s">
        <v>287</v>
      </c>
      <c r="F42" s="67" t="s">
        <v>287</v>
      </c>
      <c r="G42" s="67" t="s">
        <v>287</v>
      </c>
      <c r="H42" s="67" t="s">
        <v>287</v>
      </c>
      <c r="I42" s="67" t="s">
        <v>287</v>
      </c>
      <c r="J42" s="67" t="s">
        <v>287</v>
      </c>
      <c r="K42" s="70" t="s">
        <v>288</v>
      </c>
      <c r="L42" s="67" t="s">
        <v>287</v>
      </c>
      <c r="M42" s="70" t="s">
        <v>288</v>
      </c>
      <c r="N42" s="66" t="s">
        <v>287</v>
      </c>
      <c r="O42" s="67" t="s">
        <v>289</v>
      </c>
    </row>
    <row r="43" spans="2:15" s="62" customFormat="1" ht="23.25" customHeight="1">
      <c r="B43" s="68">
        <v>984</v>
      </c>
      <c r="C43" s="68" t="s">
        <v>341</v>
      </c>
      <c r="D43" s="69" t="s">
        <v>323</v>
      </c>
      <c r="E43" s="67" t="s">
        <v>287</v>
      </c>
      <c r="F43" s="70" t="s">
        <v>288</v>
      </c>
      <c r="G43" s="70" t="s">
        <v>288</v>
      </c>
      <c r="H43" s="70" t="s">
        <v>288</v>
      </c>
      <c r="I43" s="67" t="s">
        <v>287</v>
      </c>
      <c r="J43" s="67" t="s">
        <v>287</v>
      </c>
      <c r="K43" s="70" t="s">
        <v>288</v>
      </c>
      <c r="L43" s="70" t="s">
        <v>288</v>
      </c>
      <c r="M43" s="70" t="s">
        <v>288</v>
      </c>
      <c r="N43" s="66" t="s">
        <v>287</v>
      </c>
      <c r="O43" s="67" t="s">
        <v>289</v>
      </c>
    </row>
    <row r="44" spans="2:15" s="62" customFormat="1" ht="23.25" customHeight="1">
      <c r="B44" s="68">
        <v>8</v>
      </c>
      <c r="C44" s="68" t="s">
        <v>342</v>
      </c>
      <c r="D44" s="68" t="s">
        <v>323</v>
      </c>
      <c r="E44" s="67" t="s">
        <v>287</v>
      </c>
      <c r="F44" s="67" t="s">
        <v>287</v>
      </c>
      <c r="G44" s="67" t="s">
        <v>287</v>
      </c>
      <c r="H44" s="67" t="s">
        <v>287</v>
      </c>
      <c r="I44" s="67" t="s">
        <v>287</v>
      </c>
      <c r="J44" s="67" t="s">
        <v>287</v>
      </c>
      <c r="K44" s="70" t="s">
        <v>288</v>
      </c>
      <c r="L44" s="67" t="s">
        <v>287</v>
      </c>
      <c r="M44" s="70" t="s">
        <v>288</v>
      </c>
      <c r="N44" s="66" t="s">
        <v>287</v>
      </c>
      <c r="O44" s="67" t="s">
        <v>289</v>
      </c>
    </row>
    <row r="45" spans="2:15" s="62" customFormat="1" ht="23.25" customHeight="1">
      <c r="B45" s="68">
        <v>1740</v>
      </c>
      <c r="C45" s="68" t="s">
        <v>343</v>
      </c>
      <c r="D45" s="69" t="s">
        <v>323</v>
      </c>
      <c r="E45" s="67" t="s">
        <v>287</v>
      </c>
      <c r="F45" s="67" t="s">
        <v>287</v>
      </c>
      <c r="G45" s="67" t="s">
        <v>287</v>
      </c>
      <c r="H45" s="67" t="s">
        <v>287</v>
      </c>
      <c r="I45" s="67" t="s">
        <v>287</v>
      </c>
      <c r="J45" s="67" t="s">
        <v>287</v>
      </c>
      <c r="K45" s="70" t="s">
        <v>288</v>
      </c>
      <c r="L45" s="67" t="s">
        <v>287</v>
      </c>
      <c r="M45" s="67" t="s">
        <v>287</v>
      </c>
      <c r="N45" s="66" t="s">
        <v>287</v>
      </c>
      <c r="O45" s="67" t="s">
        <v>289</v>
      </c>
    </row>
    <row r="46" spans="2:15" s="62" customFormat="1" ht="23.25" customHeight="1">
      <c r="B46" s="68">
        <v>46</v>
      </c>
      <c r="C46" s="68" t="s">
        <v>344</v>
      </c>
      <c r="D46" s="69" t="s">
        <v>323</v>
      </c>
      <c r="E46" s="67" t="s">
        <v>287</v>
      </c>
      <c r="F46" s="67" t="s">
        <v>287</v>
      </c>
      <c r="G46" s="67" t="s">
        <v>287</v>
      </c>
      <c r="H46" s="67" t="s">
        <v>287</v>
      </c>
      <c r="I46" s="67" t="s">
        <v>287</v>
      </c>
      <c r="J46" s="67" t="s">
        <v>287</v>
      </c>
      <c r="K46" s="70" t="s">
        <v>288</v>
      </c>
      <c r="L46" s="67" t="s">
        <v>287</v>
      </c>
      <c r="M46" s="70" t="s">
        <v>288</v>
      </c>
      <c r="N46" s="66" t="s">
        <v>287</v>
      </c>
      <c r="O46" s="67" t="s">
        <v>289</v>
      </c>
    </row>
    <row r="47" spans="2:15" s="62" customFormat="1" ht="23.25" customHeight="1">
      <c r="B47" s="68">
        <v>323</v>
      </c>
      <c r="C47" s="68" t="s">
        <v>345</v>
      </c>
      <c r="D47" s="69" t="s">
        <v>323</v>
      </c>
      <c r="E47" s="67" t="s">
        <v>287</v>
      </c>
      <c r="F47" s="67" t="s">
        <v>287</v>
      </c>
      <c r="G47" s="67" t="s">
        <v>287</v>
      </c>
      <c r="H47" s="67" t="s">
        <v>287</v>
      </c>
      <c r="I47" s="67" t="s">
        <v>287</v>
      </c>
      <c r="J47" s="67" t="s">
        <v>287</v>
      </c>
      <c r="K47" s="70" t="s">
        <v>288</v>
      </c>
      <c r="L47" s="67" t="s">
        <v>287</v>
      </c>
      <c r="M47" s="70" t="s">
        <v>288</v>
      </c>
      <c r="N47" s="66" t="s">
        <v>287</v>
      </c>
      <c r="O47" s="67" t="s">
        <v>289</v>
      </c>
    </row>
    <row r="48" spans="2:15" s="62" customFormat="1" ht="23.25" customHeight="1">
      <c r="B48" s="68">
        <v>1617</v>
      </c>
      <c r="C48" s="68" t="s">
        <v>346</v>
      </c>
      <c r="D48" s="69" t="s">
        <v>323</v>
      </c>
      <c r="E48" s="67" t="s">
        <v>287</v>
      </c>
      <c r="F48" s="67" t="s">
        <v>287</v>
      </c>
      <c r="G48" s="67" t="s">
        <v>287</v>
      </c>
      <c r="H48" s="67" t="s">
        <v>287</v>
      </c>
      <c r="I48" s="67" t="s">
        <v>287</v>
      </c>
      <c r="J48" s="67" t="s">
        <v>287</v>
      </c>
      <c r="K48" s="70" t="s">
        <v>288</v>
      </c>
      <c r="L48" s="67" t="s">
        <v>287</v>
      </c>
      <c r="M48" s="70" t="s">
        <v>288</v>
      </c>
      <c r="N48" s="66" t="s">
        <v>287</v>
      </c>
      <c r="O48" s="67" t="s">
        <v>289</v>
      </c>
    </row>
    <row r="49" spans="2:15" s="62" customFormat="1" ht="23.25" customHeight="1">
      <c r="B49" s="68">
        <v>1293</v>
      </c>
      <c r="C49" s="68" t="s">
        <v>347</v>
      </c>
      <c r="D49" s="69" t="s">
        <v>323</v>
      </c>
      <c r="E49" s="67" t="s">
        <v>287</v>
      </c>
      <c r="F49" s="67" t="s">
        <v>287</v>
      </c>
      <c r="G49" s="67" t="s">
        <v>287</v>
      </c>
      <c r="H49" s="67" t="s">
        <v>287</v>
      </c>
      <c r="I49" s="67" t="s">
        <v>287</v>
      </c>
      <c r="J49" s="67" t="s">
        <v>287</v>
      </c>
      <c r="K49" s="70" t="s">
        <v>288</v>
      </c>
      <c r="L49" s="67" t="s">
        <v>287</v>
      </c>
      <c r="M49" s="70" t="s">
        <v>288</v>
      </c>
      <c r="N49" s="66" t="s">
        <v>287</v>
      </c>
      <c r="O49" s="67" t="s">
        <v>289</v>
      </c>
    </row>
    <row r="50" spans="2:15" s="62" customFormat="1" ht="23.25" customHeight="1">
      <c r="B50" s="68">
        <v>1008</v>
      </c>
      <c r="C50" s="68" t="s">
        <v>348</v>
      </c>
      <c r="D50" s="69" t="s">
        <v>323</v>
      </c>
      <c r="E50" s="67" t="s">
        <v>287</v>
      </c>
      <c r="F50" s="67" t="s">
        <v>287</v>
      </c>
      <c r="G50" s="67" t="s">
        <v>287</v>
      </c>
      <c r="H50" s="67" t="s">
        <v>287</v>
      </c>
      <c r="I50" s="67" t="s">
        <v>287</v>
      </c>
      <c r="J50" s="67" t="s">
        <v>287</v>
      </c>
      <c r="K50" s="70" t="s">
        <v>288</v>
      </c>
      <c r="L50" s="67" t="s">
        <v>287</v>
      </c>
      <c r="M50" s="67" t="s">
        <v>287</v>
      </c>
      <c r="N50" s="66" t="s">
        <v>287</v>
      </c>
      <c r="O50" s="67" t="s">
        <v>289</v>
      </c>
    </row>
    <row r="51" spans="2:15" s="62" customFormat="1" ht="23.25" customHeight="1">
      <c r="B51" s="68">
        <v>464</v>
      </c>
      <c r="C51" s="68" t="s">
        <v>349</v>
      </c>
      <c r="D51" s="69" t="s">
        <v>323</v>
      </c>
      <c r="E51" s="67" t="s">
        <v>287</v>
      </c>
      <c r="F51" s="67" t="s">
        <v>287</v>
      </c>
      <c r="G51" s="67" t="s">
        <v>287</v>
      </c>
      <c r="H51" s="67" t="s">
        <v>287</v>
      </c>
      <c r="I51" s="67" t="s">
        <v>287</v>
      </c>
      <c r="J51" s="67" t="s">
        <v>287</v>
      </c>
      <c r="K51" s="70" t="s">
        <v>288</v>
      </c>
      <c r="L51" s="67" t="s">
        <v>287</v>
      </c>
      <c r="M51" s="67" t="s">
        <v>287</v>
      </c>
      <c r="N51" s="66" t="s">
        <v>287</v>
      </c>
      <c r="O51" s="67" t="s">
        <v>289</v>
      </c>
    </row>
    <row r="52" spans="2:15" s="62" customFormat="1" ht="23.25" customHeight="1">
      <c r="B52" s="68">
        <v>162</v>
      </c>
      <c r="C52" s="68" t="s">
        <v>350</v>
      </c>
      <c r="D52" s="69" t="s">
        <v>323</v>
      </c>
      <c r="E52" s="67" t="s">
        <v>287</v>
      </c>
      <c r="F52" s="67" t="s">
        <v>287</v>
      </c>
      <c r="G52" s="67" t="s">
        <v>287</v>
      </c>
      <c r="H52" s="67" t="s">
        <v>287</v>
      </c>
      <c r="I52" s="67" t="s">
        <v>287</v>
      </c>
      <c r="J52" s="67" t="s">
        <v>287</v>
      </c>
      <c r="K52" s="70" t="s">
        <v>288</v>
      </c>
      <c r="L52" s="67" t="s">
        <v>287</v>
      </c>
      <c r="M52" s="70" t="s">
        <v>288</v>
      </c>
      <c r="N52" s="66" t="s">
        <v>287</v>
      </c>
      <c r="O52" s="67" t="s">
        <v>289</v>
      </c>
    </row>
    <row r="53" spans="2:15" s="62" customFormat="1" ht="23.25" customHeight="1">
      <c r="B53" s="68">
        <v>500</v>
      </c>
      <c r="C53" s="68" t="s">
        <v>351</v>
      </c>
      <c r="D53" s="69" t="s">
        <v>323</v>
      </c>
      <c r="E53" s="67" t="s">
        <v>287</v>
      </c>
      <c r="F53" s="67" t="s">
        <v>287</v>
      </c>
      <c r="G53" s="67" t="s">
        <v>287</v>
      </c>
      <c r="H53" s="67" t="s">
        <v>287</v>
      </c>
      <c r="I53" s="67" t="s">
        <v>287</v>
      </c>
      <c r="J53" s="67" t="s">
        <v>287</v>
      </c>
      <c r="K53" s="70" t="s">
        <v>288</v>
      </c>
      <c r="L53" s="67" t="s">
        <v>287</v>
      </c>
      <c r="M53" s="67" t="s">
        <v>287</v>
      </c>
      <c r="N53" s="66" t="s">
        <v>287</v>
      </c>
      <c r="O53" s="67" t="s">
        <v>289</v>
      </c>
    </row>
    <row r="54" spans="2:15" s="62" customFormat="1" ht="23.25" customHeight="1">
      <c r="B54" s="68">
        <v>3311</v>
      </c>
      <c r="C54" s="68" t="s">
        <v>352</v>
      </c>
      <c r="D54" s="69" t="s">
        <v>323</v>
      </c>
      <c r="E54" s="67" t="s">
        <v>287</v>
      </c>
      <c r="F54" s="67" t="s">
        <v>287</v>
      </c>
      <c r="G54" s="67" t="s">
        <v>287</v>
      </c>
      <c r="H54" s="67" t="s">
        <v>287</v>
      </c>
      <c r="I54" s="67" t="s">
        <v>287</v>
      </c>
      <c r="J54" s="67" t="s">
        <v>287</v>
      </c>
      <c r="K54" s="70" t="s">
        <v>288</v>
      </c>
      <c r="L54" s="67" t="s">
        <v>287</v>
      </c>
      <c r="M54" s="70" t="s">
        <v>288</v>
      </c>
      <c r="N54" s="66" t="s">
        <v>287</v>
      </c>
      <c r="O54" s="67" t="s">
        <v>289</v>
      </c>
    </row>
    <row r="55" spans="2:15" s="62" customFormat="1" ht="23.25" customHeight="1">
      <c r="B55" s="68">
        <v>1275</v>
      </c>
      <c r="C55" s="68" t="s">
        <v>353</v>
      </c>
      <c r="D55" s="69" t="s">
        <v>323</v>
      </c>
      <c r="E55" s="67" t="s">
        <v>287</v>
      </c>
      <c r="F55" s="67" t="s">
        <v>287</v>
      </c>
      <c r="G55" s="67" t="s">
        <v>287</v>
      </c>
      <c r="H55" s="67" t="s">
        <v>287</v>
      </c>
      <c r="I55" s="67" t="s">
        <v>287</v>
      </c>
      <c r="J55" s="67" t="s">
        <v>287</v>
      </c>
      <c r="K55" s="70" t="s">
        <v>288</v>
      </c>
      <c r="L55" s="67" t="s">
        <v>287</v>
      </c>
      <c r="M55" s="70" t="s">
        <v>288</v>
      </c>
      <c r="N55" s="66" t="s">
        <v>287</v>
      </c>
      <c r="O55" s="67" t="s">
        <v>289</v>
      </c>
    </row>
    <row r="56" spans="2:15" s="62" customFormat="1" ht="23.25" customHeight="1">
      <c r="B56" s="68">
        <v>994</v>
      </c>
      <c r="C56" s="68" t="s">
        <v>354</v>
      </c>
      <c r="D56" s="69" t="s">
        <v>323</v>
      </c>
      <c r="E56" s="67" t="s">
        <v>287</v>
      </c>
      <c r="F56" s="67" t="s">
        <v>287</v>
      </c>
      <c r="G56" s="67" t="s">
        <v>287</v>
      </c>
      <c r="H56" s="67" t="s">
        <v>287</v>
      </c>
      <c r="I56" s="67" t="s">
        <v>287</v>
      </c>
      <c r="J56" s="67" t="s">
        <v>287</v>
      </c>
      <c r="K56" s="67" t="s">
        <v>287</v>
      </c>
      <c r="L56" s="67" t="s">
        <v>287</v>
      </c>
      <c r="M56" s="70" t="s">
        <v>288</v>
      </c>
      <c r="N56" s="66" t="s">
        <v>287</v>
      </c>
      <c r="O56" s="67" t="s">
        <v>289</v>
      </c>
    </row>
    <row r="57" spans="2:15" s="62" customFormat="1" ht="23.25" customHeight="1">
      <c r="B57" s="68">
        <v>20</v>
      </c>
      <c r="C57" s="68" t="s">
        <v>355</v>
      </c>
      <c r="D57" s="69" t="s">
        <v>323</v>
      </c>
      <c r="E57" s="67" t="s">
        <v>287</v>
      </c>
      <c r="F57" s="67" t="s">
        <v>287</v>
      </c>
      <c r="G57" s="67" t="s">
        <v>287</v>
      </c>
      <c r="H57" s="67" t="s">
        <v>287</v>
      </c>
      <c r="I57" s="67" t="s">
        <v>287</v>
      </c>
      <c r="J57" s="67" t="s">
        <v>287</v>
      </c>
      <c r="K57" s="67" t="s">
        <v>287</v>
      </c>
      <c r="L57" s="67" t="s">
        <v>287</v>
      </c>
      <c r="M57" s="70" t="s">
        <v>288</v>
      </c>
      <c r="N57" s="66" t="s">
        <v>287</v>
      </c>
      <c r="O57" s="67" t="s">
        <v>289</v>
      </c>
    </row>
    <row r="58" spans="2:15" s="62" customFormat="1" ht="23.25" customHeight="1">
      <c r="B58" s="68">
        <v>851</v>
      </c>
      <c r="C58" s="68" t="s">
        <v>356</v>
      </c>
      <c r="D58" s="69" t="s">
        <v>323</v>
      </c>
      <c r="E58" s="67" t="s">
        <v>287</v>
      </c>
      <c r="F58" s="67" t="s">
        <v>287</v>
      </c>
      <c r="G58" s="67" t="s">
        <v>287</v>
      </c>
      <c r="H58" s="67" t="s">
        <v>287</v>
      </c>
      <c r="I58" s="67" t="s">
        <v>287</v>
      </c>
      <c r="J58" s="67" t="s">
        <v>287</v>
      </c>
      <c r="K58" s="70" t="s">
        <v>288</v>
      </c>
      <c r="L58" s="67" t="s">
        <v>287</v>
      </c>
      <c r="M58" s="70" t="s">
        <v>288</v>
      </c>
      <c r="N58" s="66" t="s">
        <v>287</v>
      </c>
      <c r="O58" s="67" t="s">
        <v>289</v>
      </c>
    </row>
    <row r="59" spans="2:15" s="62" customFormat="1" ht="23.25" customHeight="1">
      <c r="B59" s="68">
        <v>3255</v>
      </c>
      <c r="C59" s="68" t="s">
        <v>357</v>
      </c>
      <c r="D59" s="69" t="s">
        <v>323</v>
      </c>
      <c r="E59" s="67" t="s">
        <v>287</v>
      </c>
      <c r="F59" s="67" t="s">
        <v>287</v>
      </c>
      <c r="G59" s="67" t="s">
        <v>287</v>
      </c>
      <c r="H59" s="67" t="s">
        <v>287</v>
      </c>
      <c r="I59" s="67" t="s">
        <v>287</v>
      </c>
      <c r="J59" s="67" t="s">
        <v>287</v>
      </c>
      <c r="K59" s="70" t="s">
        <v>288</v>
      </c>
      <c r="L59" s="67" t="s">
        <v>287</v>
      </c>
      <c r="M59" s="67" t="s">
        <v>287</v>
      </c>
      <c r="N59" s="66" t="s">
        <v>287</v>
      </c>
      <c r="O59" s="67" t="s">
        <v>289</v>
      </c>
    </row>
    <row r="60" spans="2:15" s="62" customFormat="1" ht="23.25" customHeight="1">
      <c r="B60" s="68">
        <v>175</v>
      </c>
      <c r="C60" s="68" t="s">
        <v>358</v>
      </c>
      <c r="D60" s="69" t="s">
        <v>323</v>
      </c>
      <c r="E60" s="67" t="s">
        <v>287</v>
      </c>
      <c r="F60" s="67" t="s">
        <v>287</v>
      </c>
      <c r="G60" s="70" t="s">
        <v>288</v>
      </c>
      <c r="H60" s="67" t="s">
        <v>287</v>
      </c>
      <c r="I60" s="67" t="s">
        <v>287</v>
      </c>
      <c r="J60" s="67" t="s">
        <v>287</v>
      </c>
      <c r="K60" s="70" t="s">
        <v>288</v>
      </c>
      <c r="L60" s="67" t="s">
        <v>287</v>
      </c>
      <c r="M60" s="67" t="s">
        <v>287</v>
      </c>
      <c r="N60" s="66" t="s">
        <v>287</v>
      </c>
      <c r="O60" s="67" t="s">
        <v>289</v>
      </c>
    </row>
    <row r="61" spans="2:15" s="62" customFormat="1" ht="23.25" customHeight="1">
      <c r="B61" s="68">
        <v>180</v>
      </c>
      <c r="C61" s="68" t="s">
        <v>359</v>
      </c>
      <c r="D61" s="68" t="s">
        <v>323</v>
      </c>
      <c r="E61" s="67" t="s">
        <v>287</v>
      </c>
      <c r="F61" s="67" t="s">
        <v>287</v>
      </c>
      <c r="G61" s="67" t="s">
        <v>287</v>
      </c>
      <c r="H61" s="67" t="s">
        <v>287</v>
      </c>
      <c r="I61" s="67" t="s">
        <v>287</v>
      </c>
      <c r="J61" s="67" t="s">
        <v>287</v>
      </c>
      <c r="K61" s="70" t="s">
        <v>288</v>
      </c>
      <c r="L61" s="67" t="s">
        <v>287</v>
      </c>
      <c r="M61" s="70" t="s">
        <v>288</v>
      </c>
      <c r="N61" s="66" t="s">
        <v>287</v>
      </c>
      <c r="O61" s="67" t="s">
        <v>289</v>
      </c>
    </row>
    <row r="62" spans="2:15" s="62" customFormat="1" ht="23.25" customHeight="1">
      <c r="B62" s="68">
        <v>1289</v>
      </c>
      <c r="C62" s="68" t="s">
        <v>360</v>
      </c>
      <c r="D62" s="69" t="s">
        <v>323</v>
      </c>
      <c r="E62" s="67" t="s">
        <v>287</v>
      </c>
      <c r="F62" s="67" t="s">
        <v>287</v>
      </c>
      <c r="G62" s="67" t="s">
        <v>287</v>
      </c>
      <c r="H62" s="67" t="s">
        <v>287</v>
      </c>
      <c r="I62" s="67" t="s">
        <v>287</v>
      </c>
      <c r="J62" s="67" t="s">
        <v>287</v>
      </c>
      <c r="K62" s="70" t="s">
        <v>288</v>
      </c>
      <c r="L62" s="67" t="s">
        <v>287</v>
      </c>
      <c r="M62" s="67" t="s">
        <v>287</v>
      </c>
      <c r="N62" s="66" t="s">
        <v>287</v>
      </c>
      <c r="O62" s="67" t="s">
        <v>289</v>
      </c>
    </row>
    <row r="63" spans="2:15" s="62" customFormat="1" ht="23.25" customHeight="1">
      <c r="B63" s="68">
        <v>55</v>
      </c>
      <c r="C63" s="68" t="s">
        <v>361</v>
      </c>
      <c r="D63" s="69" t="s">
        <v>323</v>
      </c>
      <c r="E63" s="70" t="s">
        <v>288</v>
      </c>
      <c r="F63" s="70" t="s">
        <v>288</v>
      </c>
      <c r="G63" s="70" t="s">
        <v>288</v>
      </c>
      <c r="H63" s="70" t="s">
        <v>288</v>
      </c>
      <c r="I63" s="70" t="s">
        <v>288</v>
      </c>
      <c r="J63" s="70" t="s">
        <v>288</v>
      </c>
      <c r="K63" s="70" t="s">
        <v>288</v>
      </c>
      <c r="L63" s="70" t="s">
        <v>288</v>
      </c>
      <c r="M63" s="70" t="s">
        <v>288</v>
      </c>
      <c r="N63" s="71" t="s">
        <v>288</v>
      </c>
      <c r="O63" s="67" t="s">
        <v>287</v>
      </c>
    </row>
    <row r="64" spans="2:15" s="62" customFormat="1" ht="23.25" customHeight="1">
      <c r="B64" s="68">
        <v>1533</v>
      </c>
      <c r="C64" s="68" t="s">
        <v>362</v>
      </c>
      <c r="D64" s="69" t="s">
        <v>323</v>
      </c>
      <c r="E64" s="67" t="s">
        <v>287</v>
      </c>
      <c r="F64" s="67" t="s">
        <v>287</v>
      </c>
      <c r="G64" s="67" t="s">
        <v>287</v>
      </c>
      <c r="H64" s="67" t="s">
        <v>287</v>
      </c>
      <c r="I64" s="67" t="s">
        <v>287</v>
      </c>
      <c r="J64" s="67" t="s">
        <v>287</v>
      </c>
      <c r="K64" s="70" t="s">
        <v>288</v>
      </c>
      <c r="L64" s="67" t="s">
        <v>287</v>
      </c>
      <c r="M64" s="70" t="s">
        <v>288</v>
      </c>
      <c r="N64" s="66" t="s">
        <v>287</v>
      </c>
      <c r="O64" s="67" t="s">
        <v>289</v>
      </c>
    </row>
    <row r="65" spans="2:15" s="62" customFormat="1" ht="23.25" customHeight="1">
      <c r="B65" s="68">
        <v>1339</v>
      </c>
      <c r="C65" s="68" t="s">
        <v>363</v>
      </c>
      <c r="D65" s="69" t="s">
        <v>323</v>
      </c>
      <c r="E65" s="67" t="s">
        <v>287</v>
      </c>
      <c r="F65" s="67" t="s">
        <v>287</v>
      </c>
      <c r="G65" s="67" t="s">
        <v>287</v>
      </c>
      <c r="H65" s="67" t="s">
        <v>287</v>
      </c>
      <c r="I65" s="67" t="s">
        <v>287</v>
      </c>
      <c r="J65" s="67" t="s">
        <v>287</v>
      </c>
      <c r="K65" s="70" t="s">
        <v>288</v>
      </c>
      <c r="L65" s="67" t="s">
        <v>287</v>
      </c>
      <c r="M65" s="70" t="s">
        <v>288</v>
      </c>
      <c r="N65" s="66" t="s">
        <v>287</v>
      </c>
      <c r="O65" s="67" t="s">
        <v>289</v>
      </c>
    </row>
    <row r="66" spans="2:15" s="62" customFormat="1" ht="23.25" customHeight="1">
      <c r="B66" s="68">
        <v>875</v>
      </c>
      <c r="C66" s="68" t="s">
        <v>364</v>
      </c>
      <c r="D66" s="69" t="s">
        <v>323</v>
      </c>
      <c r="E66" s="67" t="s">
        <v>287</v>
      </c>
      <c r="F66" s="67" t="s">
        <v>287</v>
      </c>
      <c r="G66" s="67" t="s">
        <v>287</v>
      </c>
      <c r="H66" s="67" t="s">
        <v>287</v>
      </c>
      <c r="I66" s="67" t="s">
        <v>287</v>
      </c>
      <c r="J66" s="67" t="s">
        <v>287</v>
      </c>
      <c r="K66" s="70" t="s">
        <v>288</v>
      </c>
      <c r="L66" s="67" t="s">
        <v>287</v>
      </c>
      <c r="M66" s="70" t="s">
        <v>288</v>
      </c>
      <c r="N66" s="66" t="s">
        <v>287</v>
      </c>
      <c r="O66" s="67" t="s">
        <v>289</v>
      </c>
    </row>
    <row r="67" spans="2:15" s="62" customFormat="1" ht="23.25" customHeight="1">
      <c r="B67" s="68">
        <v>183</v>
      </c>
      <c r="C67" s="68" t="s">
        <v>365</v>
      </c>
      <c r="D67" s="69" t="s">
        <v>323</v>
      </c>
      <c r="E67" s="67" t="s">
        <v>287</v>
      </c>
      <c r="F67" s="67" t="s">
        <v>287</v>
      </c>
      <c r="G67" s="67" t="s">
        <v>287</v>
      </c>
      <c r="H67" s="70" t="s">
        <v>288</v>
      </c>
      <c r="I67" s="67" t="s">
        <v>287</v>
      </c>
      <c r="J67" s="67" t="s">
        <v>287</v>
      </c>
      <c r="K67" s="70" t="s">
        <v>288</v>
      </c>
      <c r="L67" s="70" t="s">
        <v>288</v>
      </c>
      <c r="M67" s="70" t="s">
        <v>288</v>
      </c>
      <c r="N67" s="66" t="s">
        <v>287</v>
      </c>
      <c r="O67" s="67" t="s">
        <v>289</v>
      </c>
    </row>
    <row r="68" spans="2:15" s="62" customFormat="1" ht="23.25" customHeight="1">
      <c r="B68" s="68">
        <v>553</v>
      </c>
      <c r="C68" s="68" t="s">
        <v>366</v>
      </c>
      <c r="D68" s="69" t="s">
        <v>323</v>
      </c>
      <c r="E68" s="70" t="s">
        <v>288</v>
      </c>
      <c r="F68" s="70" t="s">
        <v>288</v>
      </c>
      <c r="G68" s="70" t="s">
        <v>288</v>
      </c>
      <c r="H68" s="70" t="s">
        <v>288</v>
      </c>
      <c r="I68" s="70" t="s">
        <v>288</v>
      </c>
      <c r="J68" s="70" t="s">
        <v>288</v>
      </c>
      <c r="K68" s="70" t="s">
        <v>288</v>
      </c>
      <c r="L68" s="70" t="s">
        <v>288</v>
      </c>
      <c r="M68" s="70" t="s">
        <v>288</v>
      </c>
      <c r="N68" s="71" t="s">
        <v>288</v>
      </c>
      <c r="O68" s="67" t="s">
        <v>287</v>
      </c>
    </row>
    <row r="69" spans="2:15" s="62" customFormat="1" ht="23.25" customHeight="1">
      <c r="B69" s="68">
        <v>59</v>
      </c>
      <c r="C69" s="68" t="s">
        <v>367</v>
      </c>
      <c r="D69" s="69" t="s">
        <v>323</v>
      </c>
      <c r="E69" s="70" t="s">
        <v>288</v>
      </c>
      <c r="F69" s="70" t="s">
        <v>288</v>
      </c>
      <c r="G69" s="70" t="s">
        <v>288</v>
      </c>
      <c r="H69" s="70" t="s">
        <v>288</v>
      </c>
      <c r="I69" s="70" t="s">
        <v>288</v>
      </c>
      <c r="J69" s="70" t="s">
        <v>288</v>
      </c>
      <c r="K69" s="70" t="s">
        <v>288</v>
      </c>
      <c r="L69" s="70" t="s">
        <v>288</v>
      </c>
      <c r="M69" s="70" t="s">
        <v>288</v>
      </c>
      <c r="N69" s="71" t="s">
        <v>288</v>
      </c>
      <c r="O69" s="67" t="s">
        <v>287</v>
      </c>
    </row>
    <row r="70" spans="2:15" s="62" customFormat="1" ht="23.25" customHeight="1">
      <c r="B70" s="68">
        <v>347</v>
      </c>
      <c r="C70" s="68" t="s">
        <v>368</v>
      </c>
      <c r="D70" s="69" t="s">
        <v>323</v>
      </c>
      <c r="E70" s="67" t="s">
        <v>287</v>
      </c>
      <c r="F70" s="67" t="s">
        <v>287</v>
      </c>
      <c r="G70" s="67" t="s">
        <v>287</v>
      </c>
      <c r="H70" s="67" t="s">
        <v>287</v>
      </c>
      <c r="I70" s="67" t="s">
        <v>287</v>
      </c>
      <c r="J70" s="67" t="s">
        <v>287</v>
      </c>
      <c r="K70" s="70" t="s">
        <v>288</v>
      </c>
      <c r="L70" s="67" t="s">
        <v>287</v>
      </c>
      <c r="M70" s="70" t="s">
        <v>288</v>
      </c>
      <c r="N70" s="66" t="s">
        <v>287</v>
      </c>
      <c r="O70" s="67" t="s">
        <v>289</v>
      </c>
    </row>
    <row r="71" spans="2:15" s="62" customFormat="1" ht="23.25" customHeight="1">
      <c r="B71" s="68">
        <v>918</v>
      </c>
      <c r="C71" s="68" t="s">
        <v>369</v>
      </c>
      <c r="D71" s="69" t="s">
        <v>323</v>
      </c>
      <c r="E71" s="67" t="s">
        <v>287</v>
      </c>
      <c r="F71" s="67" t="s">
        <v>287</v>
      </c>
      <c r="G71" s="67" t="s">
        <v>287</v>
      </c>
      <c r="H71" s="67" t="s">
        <v>287</v>
      </c>
      <c r="I71" s="67" t="s">
        <v>287</v>
      </c>
      <c r="J71" s="67" t="s">
        <v>287</v>
      </c>
      <c r="K71" s="70" t="s">
        <v>288</v>
      </c>
      <c r="L71" s="67" t="s">
        <v>287</v>
      </c>
      <c r="M71" s="67" t="s">
        <v>287</v>
      </c>
      <c r="N71" s="66" t="s">
        <v>287</v>
      </c>
      <c r="O71" s="67" t="s">
        <v>289</v>
      </c>
    </row>
    <row r="72" spans="2:15" s="62" customFormat="1" ht="23.25" customHeight="1">
      <c r="B72" s="68">
        <v>1011</v>
      </c>
      <c r="C72" s="68" t="s">
        <v>370</v>
      </c>
      <c r="D72" s="69" t="s">
        <v>323</v>
      </c>
      <c r="E72" s="67" t="s">
        <v>287</v>
      </c>
      <c r="F72" s="67" t="s">
        <v>287</v>
      </c>
      <c r="G72" s="67" t="s">
        <v>287</v>
      </c>
      <c r="H72" s="67" t="s">
        <v>287</v>
      </c>
      <c r="I72" s="67" t="s">
        <v>287</v>
      </c>
      <c r="J72" s="67" t="s">
        <v>287</v>
      </c>
      <c r="K72" s="70" t="s">
        <v>288</v>
      </c>
      <c r="L72" s="67" t="s">
        <v>287</v>
      </c>
      <c r="M72" s="67" t="s">
        <v>287</v>
      </c>
      <c r="N72" s="66" t="s">
        <v>287</v>
      </c>
      <c r="O72" s="67" t="s">
        <v>289</v>
      </c>
    </row>
    <row r="73" spans="2:15" s="62" customFormat="1" ht="23.25" customHeight="1">
      <c r="B73" s="68">
        <v>3210</v>
      </c>
      <c r="C73" s="68" t="s">
        <v>371</v>
      </c>
      <c r="D73" s="69" t="s">
        <v>372</v>
      </c>
      <c r="E73" s="67" t="s">
        <v>287</v>
      </c>
      <c r="F73" s="67" t="s">
        <v>287</v>
      </c>
      <c r="G73" s="67" t="s">
        <v>287</v>
      </c>
      <c r="H73" s="67" t="s">
        <v>287</v>
      </c>
      <c r="I73" s="67" t="s">
        <v>287</v>
      </c>
      <c r="J73" s="67" t="s">
        <v>287</v>
      </c>
      <c r="K73" s="70" t="s">
        <v>288</v>
      </c>
      <c r="L73" s="67" t="s">
        <v>287</v>
      </c>
      <c r="M73" s="67" t="s">
        <v>287</v>
      </c>
      <c r="N73" s="66" t="s">
        <v>287</v>
      </c>
      <c r="O73" s="67" t="s">
        <v>289</v>
      </c>
    </row>
    <row r="74" spans="2:15" s="62" customFormat="1" ht="23.25" customHeight="1">
      <c r="B74" s="68">
        <v>3857</v>
      </c>
      <c r="C74" s="68" t="s">
        <v>373</v>
      </c>
      <c r="D74" s="69" t="s">
        <v>372</v>
      </c>
      <c r="E74" s="67" t="s">
        <v>287</v>
      </c>
      <c r="F74" s="67" t="s">
        <v>287</v>
      </c>
      <c r="G74" s="67" t="s">
        <v>287</v>
      </c>
      <c r="H74" s="67" t="s">
        <v>287</v>
      </c>
      <c r="I74" s="67" t="s">
        <v>287</v>
      </c>
      <c r="J74" s="70" t="s">
        <v>288</v>
      </c>
      <c r="K74" s="70" t="s">
        <v>288</v>
      </c>
      <c r="L74" s="67" t="s">
        <v>287</v>
      </c>
      <c r="M74" s="67" t="s">
        <v>287</v>
      </c>
      <c r="N74" s="66" t="s">
        <v>287</v>
      </c>
      <c r="O74" s="67" t="s">
        <v>289</v>
      </c>
    </row>
    <row r="75" spans="2:15" s="62" customFormat="1" ht="23.25" customHeight="1">
      <c r="B75" s="68">
        <v>339</v>
      </c>
      <c r="C75" s="68" t="s">
        <v>374</v>
      </c>
      <c r="D75" s="69" t="s">
        <v>372</v>
      </c>
      <c r="E75" s="67" t="s">
        <v>287</v>
      </c>
      <c r="F75" s="67" t="s">
        <v>287</v>
      </c>
      <c r="G75" s="70" t="s">
        <v>288</v>
      </c>
      <c r="H75" s="70" t="s">
        <v>288</v>
      </c>
      <c r="I75" s="67" t="s">
        <v>287</v>
      </c>
      <c r="J75" s="67" t="s">
        <v>287</v>
      </c>
      <c r="K75" s="70" t="s">
        <v>288</v>
      </c>
      <c r="L75" s="70" t="s">
        <v>288</v>
      </c>
      <c r="M75" s="70" t="s">
        <v>288</v>
      </c>
      <c r="N75" s="71" t="s">
        <v>288</v>
      </c>
      <c r="O75" s="67" t="s">
        <v>289</v>
      </c>
    </row>
    <row r="76" spans="2:15" s="62" customFormat="1" ht="23.25" customHeight="1">
      <c r="B76" s="68">
        <v>1483</v>
      </c>
      <c r="C76" s="68" t="s">
        <v>375</v>
      </c>
      <c r="D76" s="69" t="s">
        <v>376</v>
      </c>
      <c r="E76" s="67" t="s">
        <v>287</v>
      </c>
      <c r="F76" s="67" t="s">
        <v>287</v>
      </c>
      <c r="G76" s="67" t="s">
        <v>287</v>
      </c>
      <c r="H76" s="67" t="s">
        <v>287</v>
      </c>
      <c r="I76" s="67" t="s">
        <v>287</v>
      </c>
      <c r="J76" s="67" t="s">
        <v>287</v>
      </c>
      <c r="K76" s="70" t="s">
        <v>288</v>
      </c>
      <c r="L76" s="67" t="s">
        <v>287</v>
      </c>
      <c r="M76" s="67" t="s">
        <v>287</v>
      </c>
      <c r="N76" s="66" t="s">
        <v>287</v>
      </c>
      <c r="O76" s="67" t="s">
        <v>289</v>
      </c>
    </row>
    <row r="77" spans="2:15" s="62" customFormat="1" ht="23.25" customHeight="1">
      <c r="B77" s="68">
        <v>746</v>
      </c>
      <c r="C77" s="68" t="s">
        <v>377</v>
      </c>
      <c r="D77" s="69" t="s">
        <v>376</v>
      </c>
      <c r="E77" s="67" t="s">
        <v>287</v>
      </c>
      <c r="F77" s="67" t="s">
        <v>287</v>
      </c>
      <c r="G77" s="67" t="s">
        <v>287</v>
      </c>
      <c r="H77" s="67" t="s">
        <v>287</v>
      </c>
      <c r="I77" s="67" t="s">
        <v>287</v>
      </c>
      <c r="J77" s="67" t="s">
        <v>287</v>
      </c>
      <c r="K77" s="70" t="s">
        <v>288</v>
      </c>
      <c r="L77" s="67" t="s">
        <v>287</v>
      </c>
      <c r="M77" s="67" t="s">
        <v>287</v>
      </c>
      <c r="N77" s="66" t="s">
        <v>287</v>
      </c>
      <c r="O77" s="67" t="s">
        <v>289</v>
      </c>
    </row>
    <row r="78" spans="2:15" s="62" customFormat="1" ht="23.25" customHeight="1">
      <c r="B78" s="68">
        <v>1898</v>
      </c>
      <c r="C78" s="68" t="s">
        <v>378</v>
      </c>
      <c r="D78" s="68" t="s">
        <v>379</v>
      </c>
      <c r="E78" s="67" t="s">
        <v>287</v>
      </c>
      <c r="F78" s="67" t="s">
        <v>287</v>
      </c>
      <c r="G78" s="67" t="s">
        <v>287</v>
      </c>
      <c r="H78" s="67" t="s">
        <v>287</v>
      </c>
      <c r="I78" s="67" t="s">
        <v>287</v>
      </c>
      <c r="J78" s="67" t="s">
        <v>287</v>
      </c>
      <c r="K78" s="70" t="s">
        <v>288</v>
      </c>
      <c r="L78" s="67" t="s">
        <v>287</v>
      </c>
      <c r="M78" s="70" t="s">
        <v>288</v>
      </c>
      <c r="N78" s="66" t="s">
        <v>287</v>
      </c>
      <c r="O78" s="67" t="s">
        <v>289</v>
      </c>
    </row>
    <row r="79" spans="2:15" s="62" customFormat="1" ht="23.25" customHeight="1">
      <c r="B79" s="68">
        <v>3739</v>
      </c>
      <c r="C79" s="68" t="s">
        <v>380</v>
      </c>
      <c r="D79" s="69" t="s">
        <v>379</v>
      </c>
      <c r="E79" s="67" t="s">
        <v>287</v>
      </c>
      <c r="F79" s="67" t="s">
        <v>287</v>
      </c>
      <c r="G79" s="67" t="s">
        <v>287</v>
      </c>
      <c r="H79" s="67" t="s">
        <v>287</v>
      </c>
      <c r="I79" s="67" t="s">
        <v>287</v>
      </c>
      <c r="J79" s="67" t="s">
        <v>287</v>
      </c>
      <c r="K79" s="70" t="s">
        <v>288</v>
      </c>
      <c r="L79" s="67" t="s">
        <v>287</v>
      </c>
      <c r="M79" s="70" t="s">
        <v>288</v>
      </c>
      <c r="N79" s="66" t="s">
        <v>287</v>
      </c>
      <c r="O79" s="67" t="s">
        <v>289</v>
      </c>
    </row>
    <row r="80" spans="2:15" s="62" customFormat="1" ht="23.25" customHeight="1">
      <c r="B80" s="68">
        <v>1114</v>
      </c>
      <c r="C80" s="68" t="s">
        <v>381</v>
      </c>
      <c r="D80" s="68" t="s">
        <v>382</v>
      </c>
      <c r="E80" s="67" t="s">
        <v>287</v>
      </c>
      <c r="F80" s="67" t="s">
        <v>287</v>
      </c>
      <c r="G80" s="67" t="s">
        <v>287</v>
      </c>
      <c r="H80" s="67" t="s">
        <v>287</v>
      </c>
      <c r="I80" s="67" t="s">
        <v>287</v>
      </c>
      <c r="J80" s="67" t="s">
        <v>287</v>
      </c>
      <c r="K80" s="70" t="s">
        <v>288</v>
      </c>
      <c r="L80" s="67" t="s">
        <v>287</v>
      </c>
      <c r="M80" s="70" t="s">
        <v>288</v>
      </c>
      <c r="N80" s="66" t="s">
        <v>287</v>
      </c>
      <c r="O80" s="67" t="s">
        <v>289</v>
      </c>
    </row>
    <row r="81" spans="2:26" s="62" customFormat="1" ht="23.25" customHeight="1">
      <c r="B81" s="68">
        <v>852</v>
      </c>
      <c r="C81" s="68" t="s">
        <v>383</v>
      </c>
      <c r="D81" s="69" t="s">
        <v>382</v>
      </c>
      <c r="E81" s="67" t="s">
        <v>287</v>
      </c>
      <c r="F81" s="67" t="s">
        <v>287</v>
      </c>
      <c r="G81" s="67" t="s">
        <v>287</v>
      </c>
      <c r="H81" s="67" t="s">
        <v>287</v>
      </c>
      <c r="I81" s="67" t="s">
        <v>287</v>
      </c>
      <c r="J81" s="67" t="s">
        <v>287</v>
      </c>
      <c r="K81" s="70" t="s">
        <v>288</v>
      </c>
      <c r="L81" s="70" t="s">
        <v>288</v>
      </c>
      <c r="M81" s="70" t="s">
        <v>288</v>
      </c>
      <c r="N81" s="66" t="s">
        <v>287</v>
      </c>
      <c r="O81" s="67" t="s">
        <v>289</v>
      </c>
    </row>
    <row r="82" spans="2:26" s="62" customFormat="1" ht="23.25" customHeight="1">
      <c r="B82" s="68">
        <v>3050</v>
      </c>
      <c r="C82" s="68" t="s">
        <v>384</v>
      </c>
      <c r="D82" s="69" t="s">
        <v>382</v>
      </c>
      <c r="E82" s="67" t="s">
        <v>287</v>
      </c>
      <c r="F82" s="67" t="s">
        <v>287</v>
      </c>
      <c r="G82" s="67" t="s">
        <v>287</v>
      </c>
      <c r="H82" s="67" t="s">
        <v>287</v>
      </c>
      <c r="I82" s="67" t="s">
        <v>287</v>
      </c>
      <c r="J82" s="67" t="s">
        <v>287</v>
      </c>
      <c r="K82" s="70" t="s">
        <v>288</v>
      </c>
      <c r="L82" s="67" t="s">
        <v>287</v>
      </c>
      <c r="M82" s="67" t="s">
        <v>287</v>
      </c>
      <c r="N82" s="66" t="s">
        <v>287</v>
      </c>
      <c r="O82" s="67" t="s">
        <v>289</v>
      </c>
    </row>
    <row r="83" spans="2:26" s="62" customFormat="1" ht="23.25" customHeight="1">
      <c r="B83" s="68">
        <v>3402</v>
      </c>
      <c r="C83" s="68" t="s">
        <v>385</v>
      </c>
      <c r="D83" s="69" t="s">
        <v>386</v>
      </c>
      <c r="E83" s="67" t="s">
        <v>287</v>
      </c>
      <c r="F83" s="67" t="s">
        <v>287</v>
      </c>
      <c r="G83" s="67" t="s">
        <v>287</v>
      </c>
      <c r="H83" s="67" t="s">
        <v>287</v>
      </c>
      <c r="I83" s="67" t="s">
        <v>287</v>
      </c>
      <c r="J83" s="67" t="s">
        <v>287</v>
      </c>
      <c r="K83" s="70" t="s">
        <v>288</v>
      </c>
      <c r="L83" s="67" t="s">
        <v>287</v>
      </c>
      <c r="M83" s="70" t="s">
        <v>288</v>
      </c>
      <c r="N83" s="66" t="s">
        <v>287</v>
      </c>
      <c r="O83" s="67" t="s">
        <v>289</v>
      </c>
    </row>
    <row r="84" spans="2:26" s="62" customFormat="1" ht="23.25" customHeight="1">
      <c r="B84" s="68">
        <v>242</v>
      </c>
      <c r="C84" s="68" t="s">
        <v>387</v>
      </c>
      <c r="D84" s="69" t="s">
        <v>388</v>
      </c>
      <c r="E84" s="67" t="s">
        <v>287</v>
      </c>
      <c r="F84" s="67" t="s">
        <v>287</v>
      </c>
      <c r="G84" s="67" t="s">
        <v>287</v>
      </c>
      <c r="H84" s="67" t="s">
        <v>287</v>
      </c>
      <c r="I84" s="67" t="s">
        <v>287</v>
      </c>
      <c r="J84" s="67" t="s">
        <v>287</v>
      </c>
      <c r="K84" s="70" t="s">
        <v>288</v>
      </c>
      <c r="L84" s="67" t="s">
        <v>287</v>
      </c>
      <c r="M84" s="67" t="s">
        <v>287</v>
      </c>
      <c r="N84" s="66" t="s">
        <v>287</v>
      </c>
      <c r="O84" s="67" t="s">
        <v>289</v>
      </c>
    </row>
    <row r="85" spans="2:26" s="62" customFormat="1" ht="23.25" customHeight="1">
      <c r="B85" s="68">
        <v>2869</v>
      </c>
      <c r="C85" s="68" t="s">
        <v>389</v>
      </c>
      <c r="D85" s="69" t="s">
        <v>388</v>
      </c>
      <c r="E85" s="67" t="s">
        <v>287</v>
      </c>
      <c r="F85" s="67" t="s">
        <v>287</v>
      </c>
      <c r="G85" s="67" t="s">
        <v>287</v>
      </c>
      <c r="H85" s="67" t="s">
        <v>287</v>
      </c>
      <c r="I85" s="67" t="s">
        <v>287</v>
      </c>
      <c r="J85" s="67" t="s">
        <v>287</v>
      </c>
      <c r="K85" s="70" t="s">
        <v>288</v>
      </c>
      <c r="L85" s="67" t="s">
        <v>287</v>
      </c>
      <c r="M85" s="67" t="s">
        <v>287</v>
      </c>
      <c r="N85" s="66" t="s">
        <v>287</v>
      </c>
      <c r="O85" s="67" t="s">
        <v>289</v>
      </c>
    </row>
    <row r="86" spans="2:26" s="62" customFormat="1" ht="23.25" customHeight="1">
      <c r="B86" s="68">
        <v>3188</v>
      </c>
      <c r="C86" s="68" t="s">
        <v>390</v>
      </c>
      <c r="D86" s="68" t="s">
        <v>391</v>
      </c>
      <c r="E86" s="67" t="s">
        <v>287</v>
      </c>
      <c r="F86" s="67" t="s">
        <v>287</v>
      </c>
      <c r="G86" s="67" t="s">
        <v>287</v>
      </c>
      <c r="H86" s="67" t="s">
        <v>287</v>
      </c>
      <c r="I86" s="67" t="s">
        <v>287</v>
      </c>
      <c r="J86" s="67" t="s">
        <v>287</v>
      </c>
      <c r="K86" s="70" t="s">
        <v>288</v>
      </c>
      <c r="L86" s="67" t="s">
        <v>287</v>
      </c>
      <c r="M86" s="70" t="s">
        <v>288</v>
      </c>
      <c r="N86" s="66" t="s">
        <v>287</v>
      </c>
      <c r="O86" s="67" t="s">
        <v>289</v>
      </c>
    </row>
    <row r="87" spans="2:26" s="62" customFormat="1" ht="23.25" customHeight="1">
      <c r="B87" s="68">
        <v>212</v>
      </c>
      <c r="C87" s="68" t="s">
        <v>392</v>
      </c>
      <c r="D87" s="69" t="s">
        <v>391</v>
      </c>
      <c r="E87" s="67" t="s">
        <v>287</v>
      </c>
      <c r="F87" s="67" t="s">
        <v>287</v>
      </c>
      <c r="G87" s="67" t="s">
        <v>287</v>
      </c>
      <c r="H87" s="67" t="s">
        <v>287</v>
      </c>
      <c r="I87" s="67" t="s">
        <v>287</v>
      </c>
      <c r="J87" s="67" t="s">
        <v>287</v>
      </c>
      <c r="K87" s="70" t="s">
        <v>288</v>
      </c>
      <c r="L87" s="67" t="s">
        <v>287</v>
      </c>
      <c r="M87" s="70" t="s">
        <v>288</v>
      </c>
      <c r="N87" s="66" t="s">
        <v>287</v>
      </c>
      <c r="O87" s="67" t="s">
        <v>289</v>
      </c>
    </row>
    <row r="88" spans="2:26" s="62" customFormat="1" ht="23.25" customHeight="1">
      <c r="B88" s="68">
        <v>21</v>
      </c>
      <c r="C88" s="68" t="s">
        <v>393</v>
      </c>
      <c r="D88" s="69" t="s">
        <v>391</v>
      </c>
      <c r="E88" s="67" t="s">
        <v>287</v>
      </c>
      <c r="F88" s="67" t="s">
        <v>287</v>
      </c>
      <c r="G88" s="67" t="s">
        <v>287</v>
      </c>
      <c r="H88" s="67" t="s">
        <v>287</v>
      </c>
      <c r="I88" s="67" t="s">
        <v>287</v>
      </c>
      <c r="J88" s="67" t="s">
        <v>287</v>
      </c>
      <c r="K88" s="70" t="s">
        <v>288</v>
      </c>
      <c r="L88" s="67" t="s">
        <v>287</v>
      </c>
      <c r="M88" s="70" t="s">
        <v>288</v>
      </c>
      <c r="N88" s="71" t="s">
        <v>288</v>
      </c>
      <c r="O88" s="67" t="s">
        <v>289</v>
      </c>
    </row>
    <row r="89" spans="2:26" s="62" customFormat="1" ht="23.25" customHeight="1">
      <c r="B89" s="68">
        <v>2232</v>
      </c>
      <c r="C89" s="68" t="s">
        <v>394</v>
      </c>
      <c r="D89" s="69" t="s">
        <v>395</v>
      </c>
      <c r="E89" s="67" t="s">
        <v>287</v>
      </c>
      <c r="F89" s="67" t="s">
        <v>287</v>
      </c>
      <c r="G89" s="67" t="s">
        <v>287</v>
      </c>
      <c r="H89" s="67" t="s">
        <v>287</v>
      </c>
      <c r="I89" s="67" t="s">
        <v>287</v>
      </c>
      <c r="J89" s="67" t="s">
        <v>287</v>
      </c>
      <c r="K89" s="70" t="s">
        <v>288</v>
      </c>
      <c r="L89" s="67" t="s">
        <v>287</v>
      </c>
      <c r="M89" s="67" t="s">
        <v>287</v>
      </c>
      <c r="N89" s="66" t="s">
        <v>287</v>
      </c>
      <c r="O89" s="67" t="s">
        <v>289</v>
      </c>
    </row>
    <row r="90" spans="2:26" s="62" customFormat="1" ht="23.25" customHeight="1">
      <c r="B90" s="68">
        <v>1874</v>
      </c>
      <c r="C90" s="68" t="s">
        <v>396</v>
      </c>
      <c r="D90" s="69" t="s">
        <v>397</v>
      </c>
      <c r="E90" s="67" t="s">
        <v>287</v>
      </c>
      <c r="F90" s="67" t="s">
        <v>287</v>
      </c>
      <c r="G90" s="67" t="s">
        <v>287</v>
      </c>
      <c r="H90" s="67" t="s">
        <v>287</v>
      </c>
      <c r="I90" s="67" t="s">
        <v>287</v>
      </c>
      <c r="J90" s="67" t="s">
        <v>287</v>
      </c>
      <c r="K90" s="70" t="s">
        <v>288</v>
      </c>
      <c r="L90" s="67" t="s">
        <v>287</v>
      </c>
      <c r="M90" s="67" t="s">
        <v>287</v>
      </c>
      <c r="N90" s="66" t="s">
        <v>287</v>
      </c>
      <c r="O90" s="67" t="s">
        <v>289</v>
      </c>
    </row>
    <row r="91" spans="2:26" s="62" customFormat="1" ht="23.25" customHeight="1">
      <c r="B91" s="68">
        <v>1731</v>
      </c>
      <c r="C91" s="68" t="s">
        <v>398</v>
      </c>
      <c r="D91" s="69" t="s">
        <v>399</v>
      </c>
      <c r="E91" s="67" t="s">
        <v>287</v>
      </c>
      <c r="F91" s="67" t="s">
        <v>287</v>
      </c>
      <c r="G91" s="67" t="s">
        <v>287</v>
      </c>
      <c r="H91" s="67" t="s">
        <v>287</v>
      </c>
      <c r="I91" s="67" t="s">
        <v>287</v>
      </c>
      <c r="J91" s="67" t="s">
        <v>287</v>
      </c>
      <c r="K91" s="70" t="s">
        <v>288</v>
      </c>
      <c r="L91" s="67" t="s">
        <v>287</v>
      </c>
      <c r="M91" s="67" t="s">
        <v>287</v>
      </c>
      <c r="N91" s="66" t="s">
        <v>287</v>
      </c>
      <c r="O91" s="67" t="s">
        <v>289</v>
      </c>
    </row>
    <row r="92" spans="2:26" s="62" customFormat="1" ht="23.25" customHeight="1">
      <c r="B92" s="68">
        <v>2858</v>
      </c>
      <c r="C92" s="68" t="s">
        <v>400</v>
      </c>
      <c r="D92" s="69" t="s">
        <v>401</v>
      </c>
      <c r="E92" s="67" t="s">
        <v>287</v>
      </c>
      <c r="F92" s="67" t="s">
        <v>287</v>
      </c>
      <c r="G92" s="67" t="s">
        <v>287</v>
      </c>
      <c r="H92" s="67" t="s">
        <v>287</v>
      </c>
      <c r="I92" s="67" t="s">
        <v>287</v>
      </c>
      <c r="J92" s="67" t="s">
        <v>287</v>
      </c>
      <c r="K92" s="70" t="s">
        <v>288</v>
      </c>
      <c r="L92" s="67" t="s">
        <v>287</v>
      </c>
      <c r="M92" s="67" t="s">
        <v>287</v>
      </c>
      <c r="N92" s="66" t="s">
        <v>287</v>
      </c>
      <c r="O92" s="67" t="s">
        <v>289</v>
      </c>
    </row>
    <row r="93" spans="2:26" s="62" customFormat="1" ht="23.25" customHeight="1">
      <c r="B93" s="68">
        <v>2713</v>
      </c>
      <c r="C93" s="68" t="s">
        <v>402</v>
      </c>
      <c r="D93" s="69" t="s">
        <v>403</v>
      </c>
      <c r="E93" s="67" t="s">
        <v>287</v>
      </c>
      <c r="F93" s="67" t="s">
        <v>287</v>
      </c>
      <c r="G93" s="67" t="s">
        <v>287</v>
      </c>
      <c r="H93" s="67" t="s">
        <v>287</v>
      </c>
      <c r="I93" s="67" t="s">
        <v>287</v>
      </c>
      <c r="J93" s="67" t="s">
        <v>287</v>
      </c>
      <c r="K93" s="70" t="s">
        <v>288</v>
      </c>
      <c r="L93" s="67" t="s">
        <v>287</v>
      </c>
      <c r="M93" s="67" t="s">
        <v>287</v>
      </c>
      <c r="N93" s="66" t="s">
        <v>287</v>
      </c>
      <c r="O93" s="67" t="s">
        <v>289</v>
      </c>
    </row>
    <row r="94" spans="2:26" s="62" customFormat="1" ht="23.25" customHeight="1">
      <c r="B94" s="72">
        <v>1390</v>
      </c>
      <c r="C94" s="72" t="s">
        <v>404</v>
      </c>
      <c r="D94" s="72" t="s">
        <v>405</v>
      </c>
      <c r="E94" s="73" t="s">
        <v>287</v>
      </c>
      <c r="F94" s="73" t="s">
        <v>287</v>
      </c>
      <c r="G94" s="73" t="s">
        <v>287</v>
      </c>
      <c r="H94" s="73" t="s">
        <v>287</v>
      </c>
      <c r="I94" s="73" t="s">
        <v>287</v>
      </c>
      <c r="J94" s="73" t="s">
        <v>287</v>
      </c>
      <c r="K94" s="74" t="s">
        <v>288</v>
      </c>
      <c r="L94" s="73" t="s">
        <v>287</v>
      </c>
      <c r="M94" s="74" t="s">
        <v>288</v>
      </c>
      <c r="N94" s="66" t="s">
        <v>287</v>
      </c>
      <c r="O94" s="67" t="s">
        <v>289</v>
      </c>
      <c r="Q94" s="59"/>
      <c r="R94" s="59"/>
      <c r="S94" s="59"/>
      <c r="T94" s="59"/>
      <c r="U94" s="59"/>
      <c r="V94" s="59"/>
      <c r="W94" s="59"/>
      <c r="X94" s="59"/>
      <c r="Y94" s="59"/>
      <c r="Z94" s="59"/>
    </row>
  </sheetData>
  <pageMargins left="0.43307086614173229" right="0.35433070866141736" top="0.59055118110236227" bottom="0.9055118110236221" header="0.35433070866141736" footer="0.51181102362204722"/>
  <pageSetup paperSize="9" scale="42" orientation="portrait" horizontalDpi="300" verticalDpi="300" r:id="rId1"/>
  <headerFooter alignWithMargins="0">
    <oddFooter>&amp;L&amp;"Arial,Normal"&amp;10MEDİKAL NETWORK&amp;C&amp;"Arial,Normal"&amp;10&amp;A&amp;R&amp;"Arial,Normal"&amp;9ARALIK 2016 &amp;P/&amp;N</oddFooter>
  </headerFooter>
  <rowBreaks count="2" manualBreakCount="2">
    <brk id="25" min="1" max="18" man="1"/>
    <brk id="43" min="1" max="18" man="1"/>
  </rowBreaks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630"/>
  <sheetViews>
    <sheetView showGridLines="0" topLeftCell="A4" zoomScale="90" zoomScaleNormal="90" workbookViewId="0">
      <selection activeCell="C4" sqref="C4"/>
    </sheetView>
  </sheetViews>
  <sheetFormatPr defaultColWidth="11.5703125" defaultRowHeight="39.950000000000003" customHeight="1"/>
  <cols>
    <col min="1" max="1" width="4.85546875" style="110" customWidth="1"/>
    <col min="2" max="2" width="11.140625" style="137" customWidth="1"/>
    <col min="3" max="3" width="27.140625" style="110" bestFit="1" customWidth="1"/>
    <col min="4" max="4" width="23.5703125" style="110" bestFit="1" customWidth="1"/>
    <col min="5" max="5" width="14.28515625" style="138" customWidth="1"/>
    <col min="6" max="6" width="15.28515625" style="138" customWidth="1"/>
    <col min="7" max="7" width="34.5703125" style="138" customWidth="1"/>
    <col min="8" max="8" width="14.42578125" style="137" customWidth="1"/>
    <col min="9" max="9" width="11.28515625" style="137" customWidth="1"/>
    <col min="10" max="10" width="11.5703125" style="137" customWidth="1"/>
    <col min="11" max="16384" width="11.5703125" style="110"/>
  </cols>
  <sheetData>
    <row r="1" spans="2:16" s="84" customFormat="1" ht="20.100000000000001" customHeight="1">
      <c r="B1" s="82"/>
      <c r="C1" s="83"/>
      <c r="J1" s="85"/>
    </row>
    <row r="2" spans="2:16" s="88" customFormat="1" ht="25.5" customHeight="1">
      <c r="B2" s="86" t="s">
        <v>634</v>
      </c>
      <c r="C2" s="86"/>
      <c r="D2" s="86"/>
      <c r="E2" s="86"/>
      <c r="F2" s="86"/>
      <c r="G2" s="86"/>
      <c r="H2" s="86"/>
      <c r="I2" s="86"/>
      <c r="J2" s="86"/>
      <c r="K2" s="87"/>
      <c r="L2" s="87"/>
      <c r="M2" s="87"/>
      <c r="N2" s="87"/>
      <c r="O2" s="87"/>
      <c r="P2" s="87"/>
    </row>
    <row r="3" spans="2:16" s="88" customFormat="1" ht="25.5" customHeight="1">
      <c r="B3" s="89"/>
      <c r="C3" s="89"/>
      <c r="D3" s="89"/>
      <c r="E3" s="90"/>
      <c r="F3" s="90"/>
      <c r="G3" s="89"/>
      <c r="H3" s="89"/>
      <c r="I3" s="89"/>
      <c r="J3" s="89"/>
      <c r="K3" s="87"/>
      <c r="L3" s="87"/>
      <c r="M3" s="87"/>
      <c r="N3" s="87"/>
      <c r="O3" s="87"/>
      <c r="P3" s="87"/>
    </row>
    <row r="4" spans="2:16" s="93" customFormat="1" ht="30.75" customHeight="1">
      <c r="B4" s="91" t="s">
        <v>271</v>
      </c>
      <c r="C4" s="92" t="s">
        <v>635</v>
      </c>
      <c r="D4" s="91" t="s">
        <v>636</v>
      </c>
      <c r="E4" s="92" t="s">
        <v>637</v>
      </c>
      <c r="F4" s="91" t="s">
        <v>638</v>
      </c>
      <c r="G4" s="92" t="s">
        <v>639</v>
      </c>
      <c r="H4" s="91" t="s">
        <v>640</v>
      </c>
      <c r="I4" s="92" t="s">
        <v>641</v>
      </c>
      <c r="J4" s="91" t="s">
        <v>273</v>
      </c>
    </row>
    <row r="5" spans="2:16" s="93" customFormat="1" ht="24" customHeight="1">
      <c r="B5" s="94">
        <v>2034</v>
      </c>
      <c r="C5" s="95" t="s">
        <v>642</v>
      </c>
      <c r="D5" s="96" t="s">
        <v>643</v>
      </c>
      <c r="E5" s="97" t="s">
        <v>644</v>
      </c>
      <c r="F5" s="96" t="s">
        <v>645</v>
      </c>
      <c r="G5" s="97" t="s">
        <v>646</v>
      </c>
      <c r="H5" s="98" t="s">
        <v>647</v>
      </c>
      <c r="I5" s="94" t="s">
        <v>647</v>
      </c>
      <c r="J5" s="98" t="s">
        <v>648</v>
      </c>
    </row>
    <row r="6" spans="2:16" s="93" customFormat="1" ht="24" customHeight="1">
      <c r="B6" s="99">
        <v>5535</v>
      </c>
      <c r="C6" s="100" t="s">
        <v>649</v>
      </c>
      <c r="D6" s="84" t="s">
        <v>650</v>
      </c>
      <c r="E6" s="101" t="s">
        <v>651</v>
      </c>
      <c r="F6" s="84" t="s">
        <v>652</v>
      </c>
      <c r="G6" s="101" t="s">
        <v>653</v>
      </c>
      <c r="H6" s="85" t="s">
        <v>647</v>
      </c>
      <c r="I6" s="99" t="s">
        <v>647</v>
      </c>
      <c r="J6" s="85" t="s">
        <v>648</v>
      </c>
    </row>
    <row r="7" spans="2:16" s="93" customFormat="1" ht="24" customHeight="1">
      <c r="B7" s="99">
        <v>2027</v>
      </c>
      <c r="C7" s="100" t="s">
        <v>654</v>
      </c>
      <c r="D7" s="84" t="s">
        <v>655</v>
      </c>
      <c r="E7" s="101" t="s">
        <v>656</v>
      </c>
      <c r="F7" s="84"/>
      <c r="G7" s="101" t="s">
        <v>657</v>
      </c>
      <c r="H7" s="85" t="s">
        <v>647</v>
      </c>
      <c r="I7" s="99" t="s">
        <v>647</v>
      </c>
      <c r="J7" s="85" t="s">
        <v>648</v>
      </c>
    </row>
    <row r="8" spans="2:16" s="93" customFormat="1" ht="24" customHeight="1">
      <c r="B8" s="99">
        <v>3193</v>
      </c>
      <c r="C8" s="100" t="s">
        <v>658</v>
      </c>
      <c r="D8" s="84" t="s">
        <v>659</v>
      </c>
      <c r="E8" s="101" t="s">
        <v>660</v>
      </c>
      <c r="F8" s="84" t="s">
        <v>661</v>
      </c>
      <c r="G8" s="101" t="s">
        <v>662</v>
      </c>
      <c r="H8" s="85" t="s">
        <v>647</v>
      </c>
      <c r="I8" s="99" t="s">
        <v>647</v>
      </c>
      <c r="J8" s="85" t="s">
        <v>648</v>
      </c>
    </row>
    <row r="9" spans="2:16" s="93" customFormat="1" ht="24" customHeight="1">
      <c r="B9" s="99">
        <v>2046</v>
      </c>
      <c r="C9" s="100" t="s">
        <v>663</v>
      </c>
      <c r="D9" s="84" t="s">
        <v>643</v>
      </c>
      <c r="E9" s="101" t="s">
        <v>664</v>
      </c>
      <c r="F9" s="84" t="s">
        <v>665</v>
      </c>
      <c r="G9" s="101" t="s">
        <v>666</v>
      </c>
      <c r="H9" s="85" t="s">
        <v>647</v>
      </c>
      <c r="I9" s="99" t="s">
        <v>647</v>
      </c>
      <c r="J9" s="85" t="s">
        <v>648</v>
      </c>
    </row>
    <row r="10" spans="2:16" s="93" customFormat="1" ht="24" customHeight="1">
      <c r="B10" s="102">
        <v>2055</v>
      </c>
      <c r="C10" s="100" t="s">
        <v>667</v>
      </c>
      <c r="D10" s="84" t="s">
        <v>668</v>
      </c>
      <c r="E10" s="101" t="s">
        <v>669</v>
      </c>
      <c r="F10" s="84"/>
      <c r="G10" s="101" t="s">
        <v>670</v>
      </c>
      <c r="H10" s="85" t="s">
        <v>647</v>
      </c>
      <c r="I10" s="99" t="s">
        <v>647</v>
      </c>
      <c r="J10" s="85" t="s">
        <v>648</v>
      </c>
    </row>
    <row r="11" spans="2:16" s="93" customFormat="1" ht="24" customHeight="1">
      <c r="B11" s="99">
        <v>3303</v>
      </c>
      <c r="C11" s="100" t="s">
        <v>671</v>
      </c>
      <c r="D11" s="84" t="s">
        <v>672</v>
      </c>
      <c r="E11" s="101" t="s">
        <v>673</v>
      </c>
      <c r="F11" s="84" t="s">
        <v>674</v>
      </c>
      <c r="G11" s="101" t="s">
        <v>675</v>
      </c>
      <c r="H11" s="85" t="s">
        <v>647</v>
      </c>
      <c r="I11" s="99" t="s">
        <v>647</v>
      </c>
      <c r="J11" s="85" t="s">
        <v>648</v>
      </c>
    </row>
    <row r="12" spans="2:16" s="93" customFormat="1" ht="24" customHeight="1">
      <c r="B12" s="99">
        <v>5033</v>
      </c>
      <c r="C12" s="100" t="s">
        <v>676</v>
      </c>
      <c r="D12" s="84" t="s">
        <v>677</v>
      </c>
      <c r="E12" s="101" t="s">
        <v>678</v>
      </c>
      <c r="F12" s="84" t="s">
        <v>679</v>
      </c>
      <c r="G12" s="101" t="s">
        <v>680</v>
      </c>
      <c r="H12" s="85" t="s">
        <v>647</v>
      </c>
      <c r="I12" s="99" t="s">
        <v>647</v>
      </c>
      <c r="J12" s="85" t="s">
        <v>648</v>
      </c>
    </row>
    <row r="13" spans="2:16" s="93" customFormat="1" ht="24" customHeight="1">
      <c r="B13" s="99">
        <v>5443</v>
      </c>
      <c r="C13" s="100" t="s">
        <v>681</v>
      </c>
      <c r="D13" s="84" t="s">
        <v>682</v>
      </c>
      <c r="E13" s="101" t="s">
        <v>683</v>
      </c>
      <c r="F13" s="84" t="s">
        <v>684</v>
      </c>
      <c r="G13" s="101" t="s">
        <v>685</v>
      </c>
      <c r="H13" s="85" t="s">
        <v>647</v>
      </c>
      <c r="I13" s="99" t="s">
        <v>647</v>
      </c>
      <c r="J13" s="85" t="s">
        <v>648</v>
      </c>
    </row>
    <row r="14" spans="2:16" s="93" customFormat="1" ht="24" customHeight="1">
      <c r="B14" s="99">
        <v>5444</v>
      </c>
      <c r="C14" s="100" t="s">
        <v>686</v>
      </c>
      <c r="D14" s="84" t="s">
        <v>682</v>
      </c>
      <c r="E14" s="101" t="s">
        <v>687</v>
      </c>
      <c r="F14" s="84" t="s">
        <v>688</v>
      </c>
      <c r="G14" s="101" t="s">
        <v>685</v>
      </c>
      <c r="H14" s="85" t="s">
        <v>647</v>
      </c>
      <c r="I14" s="99" t="s">
        <v>647</v>
      </c>
      <c r="J14" s="85" t="s">
        <v>648</v>
      </c>
    </row>
    <row r="15" spans="2:16" s="93" customFormat="1" ht="24" customHeight="1">
      <c r="B15" s="99">
        <v>2051</v>
      </c>
      <c r="C15" s="100" t="s">
        <v>689</v>
      </c>
      <c r="D15" s="84" t="s">
        <v>655</v>
      </c>
      <c r="E15" s="101" t="s">
        <v>690</v>
      </c>
      <c r="F15" s="84" t="s">
        <v>691</v>
      </c>
      <c r="G15" s="101" t="s">
        <v>692</v>
      </c>
      <c r="H15" s="85" t="s">
        <v>647</v>
      </c>
      <c r="I15" s="99" t="s">
        <v>647</v>
      </c>
      <c r="J15" s="85" t="s">
        <v>648</v>
      </c>
    </row>
    <row r="16" spans="2:16" s="93" customFormat="1" ht="24" customHeight="1">
      <c r="B16" s="99">
        <v>2893</v>
      </c>
      <c r="C16" s="100" t="s">
        <v>693</v>
      </c>
      <c r="D16" s="84" t="s">
        <v>643</v>
      </c>
      <c r="E16" s="101" t="s">
        <v>694</v>
      </c>
      <c r="F16" s="84" t="s">
        <v>695</v>
      </c>
      <c r="G16" s="101" t="s">
        <v>696</v>
      </c>
      <c r="H16" s="85" t="s">
        <v>647</v>
      </c>
      <c r="I16" s="99" t="s">
        <v>647</v>
      </c>
      <c r="J16" s="85" t="s">
        <v>648</v>
      </c>
    </row>
    <row r="17" spans="2:16" s="93" customFormat="1" ht="24" customHeight="1">
      <c r="B17" s="99">
        <v>2026</v>
      </c>
      <c r="C17" s="100" t="s">
        <v>697</v>
      </c>
      <c r="D17" s="84" t="s">
        <v>650</v>
      </c>
      <c r="E17" s="101" t="s">
        <v>698</v>
      </c>
      <c r="F17" s="84" t="s">
        <v>699</v>
      </c>
      <c r="G17" s="101" t="s">
        <v>700</v>
      </c>
      <c r="H17" s="85" t="s">
        <v>647</v>
      </c>
      <c r="I17" s="99" t="s">
        <v>647</v>
      </c>
      <c r="J17" s="85" t="s">
        <v>648</v>
      </c>
    </row>
    <row r="18" spans="2:16" s="93" customFormat="1" ht="24" customHeight="1">
      <c r="B18" s="99">
        <v>2029</v>
      </c>
      <c r="C18" s="100" t="s">
        <v>701</v>
      </c>
      <c r="D18" s="84" t="s">
        <v>659</v>
      </c>
      <c r="E18" s="101" t="s">
        <v>702</v>
      </c>
      <c r="F18" s="84" t="s">
        <v>703</v>
      </c>
      <c r="G18" s="101" t="s">
        <v>704</v>
      </c>
      <c r="H18" s="85" t="s">
        <v>647</v>
      </c>
      <c r="I18" s="99" t="s">
        <v>647</v>
      </c>
      <c r="J18" s="85" t="s">
        <v>648</v>
      </c>
    </row>
    <row r="19" spans="2:16" s="93" customFormat="1" ht="24" customHeight="1">
      <c r="B19" s="103">
        <v>4067</v>
      </c>
      <c r="C19" s="104" t="s">
        <v>705</v>
      </c>
      <c r="D19" s="105" t="s">
        <v>650</v>
      </c>
      <c r="E19" s="106" t="s">
        <v>706</v>
      </c>
      <c r="F19" s="107" t="s">
        <v>707</v>
      </c>
      <c r="G19" s="106" t="s">
        <v>708</v>
      </c>
      <c r="H19" s="108" t="s">
        <v>647</v>
      </c>
      <c r="I19" s="109" t="s">
        <v>647</v>
      </c>
      <c r="J19" s="108" t="s">
        <v>648</v>
      </c>
    </row>
    <row r="20" spans="2:16" s="93" customFormat="1" ht="24" customHeight="1">
      <c r="B20" s="103">
        <v>3971</v>
      </c>
      <c r="C20" s="104" t="s">
        <v>709</v>
      </c>
      <c r="D20" s="84" t="s">
        <v>655</v>
      </c>
      <c r="E20" s="106" t="s">
        <v>710</v>
      </c>
      <c r="F20" s="107"/>
      <c r="G20" s="106" t="s">
        <v>711</v>
      </c>
      <c r="H20" s="108" t="s">
        <v>647</v>
      </c>
      <c r="I20" s="109" t="s">
        <v>647</v>
      </c>
      <c r="J20" s="108" t="s">
        <v>648</v>
      </c>
    </row>
    <row r="21" spans="2:16" s="93" customFormat="1" ht="24" customHeight="1">
      <c r="B21" s="99">
        <v>4552</v>
      </c>
      <c r="C21" s="100" t="s">
        <v>712</v>
      </c>
      <c r="D21" s="84" t="s">
        <v>713</v>
      </c>
      <c r="E21" s="101" t="s">
        <v>714</v>
      </c>
      <c r="F21" s="84" t="s">
        <v>715</v>
      </c>
      <c r="G21" s="101" t="s">
        <v>716</v>
      </c>
      <c r="H21" s="85" t="s">
        <v>647</v>
      </c>
      <c r="I21" s="99" t="s">
        <v>647</v>
      </c>
      <c r="J21" s="85" t="s">
        <v>648</v>
      </c>
    </row>
    <row r="22" spans="2:16" s="93" customFormat="1" ht="24" customHeight="1">
      <c r="B22" s="99">
        <v>4561</v>
      </c>
      <c r="C22" s="100" t="s">
        <v>717</v>
      </c>
      <c r="D22" s="84" t="s">
        <v>643</v>
      </c>
      <c r="E22" s="101" t="s">
        <v>718</v>
      </c>
      <c r="F22" s="84" t="s">
        <v>719</v>
      </c>
      <c r="G22" s="101" t="s">
        <v>720</v>
      </c>
      <c r="H22" s="85" t="s">
        <v>647</v>
      </c>
      <c r="I22" s="99" t="s">
        <v>647</v>
      </c>
      <c r="J22" s="85" t="s">
        <v>648</v>
      </c>
      <c r="K22" s="110"/>
      <c r="L22" s="110"/>
      <c r="M22" s="110"/>
      <c r="N22" s="110"/>
      <c r="O22" s="110"/>
      <c r="P22" s="110"/>
    </row>
    <row r="23" spans="2:16" s="93" customFormat="1" ht="24" customHeight="1">
      <c r="B23" s="99">
        <v>5744</v>
      </c>
      <c r="C23" s="100" t="s">
        <v>721</v>
      </c>
      <c r="D23" s="111" t="s">
        <v>650</v>
      </c>
      <c r="E23" s="101" t="s">
        <v>722</v>
      </c>
      <c r="F23" s="111" t="s">
        <v>723</v>
      </c>
      <c r="G23" s="101" t="s">
        <v>724</v>
      </c>
      <c r="H23" s="112" t="s">
        <v>647</v>
      </c>
      <c r="I23" s="99" t="s">
        <v>647</v>
      </c>
      <c r="J23" s="112" t="s">
        <v>648</v>
      </c>
    </row>
    <row r="24" spans="2:16" s="93" customFormat="1" ht="24" customHeight="1">
      <c r="B24" s="99">
        <v>5746</v>
      </c>
      <c r="C24" s="100" t="s">
        <v>725</v>
      </c>
      <c r="D24" s="111" t="s">
        <v>682</v>
      </c>
      <c r="E24" s="101" t="s">
        <v>726</v>
      </c>
      <c r="F24" s="111" t="s">
        <v>727</v>
      </c>
      <c r="G24" s="101" t="s">
        <v>728</v>
      </c>
      <c r="H24" s="112" t="s">
        <v>647</v>
      </c>
      <c r="I24" s="99" t="s">
        <v>647</v>
      </c>
      <c r="J24" s="112" t="s">
        <v>648</v>
      </c>
    </row>
    <row r="25" spans="2:16" s="93" customFormat="1" ht="24" customHeight="1">
      <c r="B25" s="99">
        <v>3101</v>
      </c>
      <c r="C25" s="100" t="s">
        <v>729</v>
      </c>
      <c r="D25" s="84" t="s">
        <v>643</v>
      </c>
      <c r="E25" s="101" t="s">
        <v>730</v>
      </c>
      <c r="F25" s="84" t="s">
        <v>731</v>
      </c>
      <c r="G25" s="101" t="s">
        <v>732</v>
      </c>
      <c r="H25" s="85" t="s">
        <v>733</v>
      </c>
      <c r="I25" s="99" t="s">
        <v>734</v>
      </c>
      <c r="J25" s="85" t="s">
        <v>292</v>
      </c>
    </row>
    <row r="26" spans="2:16" s="93" customFormat="1" ht="24" customHeight="1">
      <c r="B26" s="99">
        <v>2652</v>
      </c>
      <c r="C26" s="100" t="s">
        <v>735</v>
      </c>
      <c r="D26" s="84" t="s">
        <v>655</v>
      </c>
      <c r="E26" s="101" t="s">
        <v>736</v>
      </c>
      <c r="F26" s="84" t="s">
        <v>737</v>
      </c>
      <c r="G26" s="101" t="s">
        <v>738</v>
      </c>
      <c r="H26" s="85" t="s">
        <v>734</v>
      </c>
      <c r="I26" s="99" t="s">
        <v>734</v>
      </c>
      <c r="J26" s="85" t="s">
        <v>292</v>
      </c>
    </row>
    <row r="27" spans="2:16" s="93" customFormat="1" ht="24" customHeight="1">
      <c r="B27" s="113">
        <v>4043</v>
      </c>
      <c r="C27" s="114" t="s">
        <v>739</v>
      </c>
      <c r="D27" s="107" t="s">
        <v>650</v>
      </c>
      <c r="E27" s="106" t="s">
        <v>740</v>
      </c>
      <c r="F27" s="107" t="s">
        <v>741</v>
      </c>
      <c r="G27" s="106" t="s">
        <v>742</v>
      </c>
      <c r="H27" s="108" t="s">
        <v>734</v>
      </c>
      <c r="I27" s="109" t="s">
        <v>734</v>
      </c>
      <c r="J27" s="108" t="s">
        <v>292</v>
      </c>
    </row>
    <row r="28" spans="2:16" s="93" customFormat="1" ht="24" customHeight="1">
      <c r="B28" s="103">
        <v>3975</v>
      </c>
      <c r="C28" s="104" t="s">
        <v>743</v>
      </c>
      <c r="D28" s="84" t="s">
        <v>744</v>
      </c>
      <c r="E28" s="106" t="s">
        <v>745</v>
      </c>
      <c r="F28" s="107"/>
      <c r="G28" s="106" t="s">
        <v>746</v>
      </c>
      <c r="H28" s="108" t="s">
        <v>734</v>
      </c>
      <c r="I28" s="109" t="s">
        <v>734</v>
      </c>
      <c r="J28" s="108" t="s">
        <v>292</v>
      </c>
    </row>
    <row r="29" spans="2:16" s="93" customFormat="1" ht="24" customHeight="1">
      <c r="B29" s="103">
        <v>3992</v>
      </c>
      <c r="C29" s="104" t="s">
        <v>747</v>
      </c>
      <c r="D29" s="105" t="s">
        <v>682</v>
      </c>
      <c r="E29" s="106" t="s">
        <v>748</v>
      </c>
      <c r="F29" s="107"/>
      <c r="G29" s="106" t="s">
        <v>749</v>
      </c>
      <c r="H29" s="108" t="s">
        <v>734</v>
      </c>
      <c r="I29" s="109" t="s">
        <v>734</v>
      </c>
      <c r="J29" s="108" t="s">
        <v>292</v>
      </c>
    </row>
    <row r="30" spans="2:16" s="93" customFormat="1" ht="24" customHeight="1">
      <c r="B30" s="103">
        <v>4606</v>
      </c>
      <c r="C30" s="104" t="s">
        <v>750</v>
      </c>
      <c r="D30" s="107" t="s">
        <v>751</v>
      </c>
      <c r="E30" s="106" t="s">
        <v>752</v>
      </c>
      <c r="F30" s="107" t="s">
        <v>753</v>
      </c>
      <c r="G30" s="106" t="s">
        <v>754</v>
      </c>
      <c r="H30" s="108" t="s">
        <v>734</v>
      </c>
      <c r="I30" s="109" t="s">
        <v>734</v>
      </c>
      <c r="J30" s="108" t="s">
        <v>292</v>
      </c>
    </row>
    <row r="31" spans="2:16" s="93" customFormat="1" ht="24" customHeight="1">
      <c r="B31" s="99">
        <v>2488</v>
      </c>
      <c r="C31" s="100" t="s">
        <v>755</v>
      </c>
      <c r="D31" s="84" t="s">
        <v>659</v>
      </c>
      <c r="E31" s="101" t="s">
        <v>756</v>
      </c>
      <c r="F31" s="84" t="s">
        <v>757</v>
      </c>
      <c r="G31" s="101" t="s">
        <v>758</v>
      </c>
      <c r="H31" s="85" t="s">
        <v>734</v>
      </c>
      <c r="I31" s="99" t="s">
        <v>734</v>
      </c>
      <c r="J31" s="85" t="s">
        <v>292</v>
      </c>
    </row>
    <row r="32" spans="2:16" s="93" customFormat="1" ht="24" customHeight="1">
      <c r="B32" s="99">
        <v>3235</v>
      </c>
      <c r="C32" s="100" t="s">
        <v>759</v>
      </c>
      <c r="D32" s="84" t="s">
        <v>744</v>
      </c>
      <c r="E32" s="101" t="s">
        <v>760</v>
      </c>
      <c r="F32" s="84" t="s">
        <v>761</v>
      </c>
      <c r="G32" s="101" t="s">
        <v>762</v>
      </c>
      <c r="H32" s="85" t="s">
        <v>734</v>
      </c>
      <c r="I32" s="99" t="s">
        <v>734</v>
      </c>
      <c r="J32" s="85" t="s">
        <v>292</v>
      </c>
    </row>
    <row r="33" spans="2:10" s="93" customFormat="1" ht="24" customHeight="1">
      <c r="B33" s="99">
        <v>3134</v>
      </c>
      <c r="C33" s="100" t="s">
        <v>763</v>
      </c>
      <c r="D33" s="105" t="s">
        <v>764</v>
      </c>
      <c r="E33" s="101" t="s">
        <v>765</v>
      </c>
      <c r="F33" s="84" t="s">
        <v>766</v>
      </c>
      <c r="G33" s="101" t="s">
        <v>767</v>
      </c>
      <c r="H33" s="85" t="s">
        <v>734</v>
      </c>
      <c r="I33" s="99" t="s">
        <v>734</v>
      </c>
      <c r="J33" s="85" t="s">
        <v>292</v>
      </c>
    </row>
    <row r="34" spans="2:10" s="93" customFormat="1" ht="24" customHeight="1">
      <c r="B34" s="99">
        <v>2320</v>
      </c>
      <c r="C34" s="100" t="s">
        <v>768</v>
      </c>
      <c r="D34" s="84" t="s">
        <v>672</v>
      </c>
      <c r="E34" s="101" t="s">
        <v>769</v>
      </c>
      <c r="F34" s="84" t="s">
        <v>770</v>
      </c>
      <c r="G34" s="101" t="s">
        <v>771</v>
      </c>
      <c r="H34" s="85" t="s">
        <v>734</v>
      </c>
      <c r="I34" s="99" t="s">
        <v>734</v>
      </c>
      <c r="J34" s="85" t="s">
        <v>292</v>
      </c>
    </row>
    <row r="35" spans="2:10" s="93" customFormat="1" ht="24" customHeight="1">
      <c r="B35" s="99">
        <v>4113</v>
      </c>
      <c r="C35" s="100" t="s">
        <v>772</v>
      </c>
      <c r="D35" s="84" t="s">
        <v>773</v>
      </c>
      <c r="E35" s="101" t="s">
        <v>774</v>
      </c>
      <c r="F35" s="84"/>
      <c r="G35" s="101" t="s">
        <v>775</v>
      </c>
      <c r="H35" s="85" t="s">
        <v>734</v>
      </c>
      <c r="I35" s="99" t="s">
        <v>734</v>
      </c>
      <c r="J35" s="85" t="s">
        <v>292</v>
      </c>
    </row>
    <row r="36" spans="2:10" s="93" customFormat="1" ht="24" customHeight="1">
      <c r="B36" s="99">
        <v>3232</v>
      </c>
      <c r="C36" s="100" t="s">
        <v>776</v>
      </c>
      <c r="D36" s="84" t="s">
        <v>777</v>
      </c>
      <c r="E36" s="101" t="s">
        <v>778</v>
      </c>
      <c r="F36" s="84" t="s">
        <v>779</v>
      </c>
      <c r="G36" s="101" t="s">
        <v>780</v>
      </c>
      <c r="H36" s="85" t="s">
        <v>734</v>
      </c>
      <c r="I36" s="99" t="s">
        <v>734</v>
      </c>
      <c r="J36" s="85" t="s">
        <v>292</v>
      </c>
    </row>
    <row r="37" spans="2:10" s="93" customFormat="1" ht="24" customHeight="1">
      <c r="B37" s="99">
        <v>5534</v>
      </c>
      <c r="C37" s="100" t="s">
        <v>781</v>
      </c>
      <c r="D37" s="84" t="s">
        <v>643</v>
      </c>
      <c r="E37" s="101" t="s">
        <v>782</v>
      </c>
      <c r="F37" s="84" t="s">
        <v>783</v>
      </c>
      <c r="G37" s="101" t="s">
        <v>784</v>
      </c>
      <c r="H37" s="85" t="s">
        <v>734</v>
      </c>
      <c r="I37" s="99" t="s">
        <v>734</v>
      </c>
      <c r="J37" s="85" t="s">
        <v>292</v>
      </c>
    </row>
    <row r="38" spans="2:10" s="93" customFormat="1" ht="24" customHeight="1">
      <c r="B38" s="99">
        <v>3202</v>
      </c>
      <c r="C38" s="100" t="s">
        <v>785</v>
      </c>
      <c r="D38" s="84" t="s">
        <v>643</v>
      </c>
      <c r="E38" s="101" t="s">
        <v>786</v>
      </c>
      <c r="F38" s="84" t="s">
        <v>787</v>
      </c>
      <c r="G38" s="101" t="s">
        <v>788</v>
      </c>
      <c r="H38" s="85" t="s">
        <v>734</v>
      </c>
      <c r="I38" s="99" t="s">
        <v>734</v>
      </c>
      <c r="J38" s="85" t="s">
        <v>292</v>
      </c>
    </row>
    <row r="39" spans="2:10" s="93" customFormat="1" ht="24" customHeight="1">
      <c r="B39" s="99">
        <v>3227</v>
      </c>
      <c r="C39" s="100" t="s">
        <v>789</v>
      </c>
      <c r="D39" s="84" t="s">
        <v>659</v>
      </c>
      <c r="E39" s="101" t="s">
        <v>790</v>
      </c>
      <c r="F39" s="84" t="s">
        <v>791</v>
      </c>
      <c r="G39" s="101" t="s">
        <v>792</v>
      </c>
      <c r="H39" s="85" t="s">
        <v>734</v>
      </c>
      <c r="I39" s="99" t="s">
        <v>734</v>
      </c>
      <c r="J39" s="85" t="s">
        <v>292</v>
      </c>
    </row>
    <row r="40" spans="2:10" s="93" customFormat="1" ht="24" customHeight="1">
      <c r="B40" s="113">
        <v>4057</v>
      </c>
      <c r="C40" s="114" t="s">
        <v>793</v>
      </c>
      <c r="D40" s="107" t="s">
        <v>751</v>
      </c>
      <c r="E40" s="106" t="s">
        <v>794</v>
      </c>
      <c r="F40" s="107" t="s">
        <v>795</v>
      </c>
      <c r="G40" s="106" t="s">
        <v>796</v>
      </c>
      <c r="H40" s="108" t="s">
        <v>734</v>
      </c>
      <c r="I40" s="109" t="s">
        <v>734</v>
      </c>
      <c r="J40" s="108" t="s">
        <v>292</v>
      </c>
    </row>
    <row r="41" spans="2:10" s="93" customFormat="1" ht="24" customHeight="1">
      <c r="B41" s="113">
        <v>4084</v>
      </c>
      <c r="C41" s="114" t="s">
        <v>797</v>
      </c>
      <c r="D41" s="105" t="s">
        <v>798</v>
      </c>
      <c r="E41" s="106" t="s">
        <v>799</v>
      </c>
      <c r="F41" s="107" t="s">
        <v>800</v>
      </c>
      <c r="G41" s="106" t="s">
        <v>801</v>
      </c>
      <c r="H41" s="108" t="s">
        <v>734</v>
      </c>
      <c r="I41" s="109" t="s">
        <v>734</v>
      </c>
      <c r="J41" s="108" t="s">
        <v>292</v>
      </c>
    </row>
    <row r="42" spans="2:10" s="93" customFormat="1" ht="24" customHeight="1">
      <c r="B42" s="103">
        <v>4009</v>
      </c>
      <c r="C42" s="104" t="s">
        <v>802</v>
      </c>
      <c r="D42" s="105" t="s">
        <v>803</v>
      </c>
      <c r="E42" s="106" t="s">
        <v>804</v>
      </c>
      <c r="F42" s="107"/>
      <c r="G42" s="106" t="s">
        <v>805</v>
      </c>
      <c r="H42" s="108" t="s">
        <v>734</v>
      </c>
      <c r="I42" s="109" t="s">
        <v>734</v>
      </c>
      <c r="J42" s="108" t="s">
        <v>292</v>
      </c>
    </row>
    <row r="43" spans="2:10" s="93" customFormat="1" ht="24" customHeight="1">
      <c r="B43" s="103">
        <v>4013</v>
      </c>
      <c r="C43" s="104" t="s">
        <v>806</v>
      </c>
      <c r="D43" s="105" t="s">
        <v>677</v>
      </c>
      <c r="E43" s="106" t="s">
        <v>807</v>
      </c>
      <c r="F43" s="107"/>
      <c r="G43" s="106" t="s">
        <v>808</v>
      </c>
      <c r="H43" s="108" t="s">
        <v>734</v>
      </c>
      <c r="I43" s="109" t="s">
        <v>734</v>
      </c>
      <c r="J43" s="108" t="s">
        <v>292</v>
      </c>
    </row>
    <row r="44" spans="2:10" s="93" customFormat="1" ht="24" customHeight="1">
      <c r="B44" s="103">
        <v>4029</v>
      </c>
      <c r="C44" s="104" t="s">
        <v>809</v>
      </c>
      <c r="D44" s="105" t="s">
        <v>773</v>
      </c>
      <c r="E44" s="106" t="s">
        <v>810</v>
      </c>
      <c r="F44" s="107" t="s">
        <v>810</v>
      </c>
      <c r="G44" s="106" t="s">
        <v>811</v>
      </c>
      <c r="H44" s="108" t="s">
        <v>734</v>
      </c>
      <c r="I44" s="109" t="s">
        <v>734</v>
      </c>
      <c r="J44" s="108" t="s">
        <v>292</v>
      </c>
    </row>
    <row r="45" spans="2:10" s="93" customFormat="1" ht="24" customHeight="1">
      <c r="B45" s="103">
        <v>4130</v>
      </c>
      <c r="C45" s="104" t="s">
        <v>812</v>
      </c>
      <c r="D45" s="105" t="s">
        <v>813</v>
      </c>
      <c r="E45" s="106" t="s">
        <v>814</v>
      </c>
      <c r="F45" s="107"/>
      <c r="G45" s="106" t="s">
        <v>815</v>
      </c>
      <c r="H45" s="108" t="s">
        <v>734</v>
      </c>
      <c r="I45" s="109" t="s">
        <v>734</v>
      </c>
      <c r="J45" s="108" t="s">
        <v>292</v>
      </c>
    </row>
    <row r="46" spans="2:10" s="93" customFormat="1" ht="24" customHeight="1">
      <c r="B46" s="103">
        <v>5372</v>
      </c>
      <c r="C46" s="104" t="s">
        <v>816</v>
      </c>
      <c r="D46" s="84" t="s">
        <v>643</v>
      </c>
      <c r="E46" s="106" t="s">
        <v>817</v>
      </c>
      <c r="F46" s="107" t="s">
        <v>818</v>
      </c>
      <c r="G46" s="106" t="s">
        <v>819</v>
      </c>
      <c r="H46" s="108" t="s">
        <v>734</v>
      </c>
      <c r="I46" s="109" t="s">
        <v>734</v>
      </c>
      <c r="J46" s="108" t="s">
        <v>292</v>
      </c>
    </row>
    <row r="47" spans="2:10" s="93" customFormat="1" ht="24" customHeight="1">
      <c r="B47" s="103">
        <v>4028</v>
      </c>
      <c r="C47" s="104" t="s">
        <v>820</v>
      </c>
      <c r="D47" s="84" t="s">
        <v>821</v>
      </c>
      <c r="E47" s="106" t="s">
        <v>822</v>
      </c>
      <c r="F47" s="107"/>
      <c r="G47" s="106" t="s">
        <v>823</v>
      </c>
      <c r="H47" s="108" t="s">
        <v>734</v>
      </c>
      <c r="I47" s="109" t="s">
        <v>734</v>
      </c>
      <c r="J47" s="108" t="s">
        <v>292</v>
      </c>
    </row>
    <row r="48" spans="2:10" s="93" customFormat="1" ht="24" customHeight="1">
      <c r="B48" s="99">
        <v>2066</v>
      </c>
      <c r="C48" s="100" t="s">
        <v>824</v>
      </c>
      <c r="D48" s="84" t="s">
        <v>643</v>
      </c>
      <c r="E48" s="101" t="s">
        <v>825</v>
      </c>
      <c r="F48" s="84" t="s">
        <v>826</v>
      </c>
      <c r="G48" s="101" t="s">
        <v>827</v>
      </c>
      <c r="H48" s="85" t="s">
        <v>734</v>
      </c>
      <c r="I48" s="99" t="s">
        <v>734</v>
      </c>
      <c r="J48" s="85" t="s">
        <v>292</v>
      </c>
    </row>
    <row r="49" spans="2:16" s="93" customFormat="1" ht="24" customHeight="1">
      <c r="B49" s="99">
        <v>4056</v>
      </c>
      <c r="C49" s="100" t="s">
        <v>828</v>
      </c>
      <c r="D49" s="84" t="s">
        <v>643</v>
      </c>
      <c r="E49" s="101" t="s">
        <v>829</v>
      </c>
      <c r="F49" s="84"/>
      <c r="G49" s="101" t="s">
        <v>830</v>
      </c>
      <c r="H49" s="85" t="s">
        <v>734</v>
      </c>
      <c r="I49" s="99" t="s">
        <v>734</v>
      </c>
      <c r="J49" s="85" t="s">
        <v>292</v>
      </c>
    </row>
    <row r="50" spans="2:16" s="93" customFormat="1" ht="24" customHeight="1">
      <c r="B50" s="99">
        <v>2853</v>
      </c>
      <c r="C50" s="100" t="s">
        <v>831</v>
      </c>
      <c r="D50" s="84" t="s">
        <v>650</v>
      </c>
      <c r="E50" s="101" t="s">
        <v>832</v>
      </c>
      <c r="F50" s="84" t="s">
        <v>833</v>
      </c>
      <c r="G50" s="101" t="s">
        <v>834</v>
      </c>
      <c r="H50" s="85" t="s">
        <v>734</v>
      </c>
      <c r="I50" s="99" t="s">
        <v>734</v>
      </c>
      <c r="J50" s="85" t="s">
        <v>292</v>
      </c>
    </row>
    <row r="51" spans="2:16" s="93" customFormat="1" ht="24" customHeight="1">
      <c r="B51" s="99">
        <v>3105</v>
      </c>
      <c r="C51" s="100" t="s">
        <v>835</v>
      </c>
      <c r="D51" s="84" t="s">
        <v>650</v>
      </c>
      <c r="E51" s="101" t="s">
        <v>836</v>
      </c>
      <c r="F51" s="84" t="s">
        <v>837</v>
      </c>
      <c r="G51" s="101" t="s">
        <v>838</v>
      </c>
      <c r="H51" s="85" t="s">
        <v>734</v>
      </c>
      <c r="I51" s="99" t="s">
        <v>734</v>
      </c>
      <c r="J51" s="85" t="s">
        <v>292</v>
      </c>
    </row>
    <row r="52" spans="2:16" s="93" customFormat="1" ht="24" customHeight="1">
      <c r="B52" s="99">
        <v>3383</v>
      </c>
      <c r="C52" s="100" t="s">
        <v>839</v>
      </c>
      <c r="D52" s="84" t="s">
        <v>643</v>
      </c>
      <c r="E52" s="101" t="s">
        <v>840</v>
      </c>
      <c r="F52" s="84"/>
      <c r="G52" s="101" t="s">
        <v>841</v>
      </c>
      <c r="H52" s="85" t="s">
        <v>734</v>
      </c>
      <c r="I52" s="99" t="s">
        <v>734</v>
      </c>
      <c r="J52" s="85" t="s">
        <v>292</v>
      </c>
    </row>
    <row r="53" spans="2:16" s="93" customFormat="1" ht="24" customHeight="1">
      <c r="B53" s="103">
        <v>4119</v>
      </c>
      <c r="C53" s="104" t="s">
        <v>842</v>
      </c>
      <c r="D53" s="105" t="s">
        <v>650</v>
      </c>
      <c r="E53" s="106" t="s">
        <v>843</v>
      </c>
      <c r="F53" s="107"/>
      <c r="G53" s="106" t="s">
        <v>844</v>
      </c>
      <c r="H53" s="108" t="s">
        <v>734</v>
      </c>
      <c r="I53" s="109" t="s">
        <v>734</v>
      </c>
      <c r="J53" s="108" t="s">
        <v>292</v>
      </c>
    </row>
    <row r="54" spans="2:16" s="93" customFormat="1" ht="24" customHeight="1">
      <c r="B54" s="99">
        <v>4031</v>
      </c>
      <c r="C54" s="100" t="s">
        <v>845</v>
      </c>
      <c r="D54" s="84" t="s">
        <v>643</v>
      </c>
      <c r="E54" s="101" t="s">
        <v>846</v>
      </c>
      <c r="F54" s="84" t="s">
        <v>847</v>
      </c>
      <c r="G54" s="101" t="s">
        <v>848</v>
      </c>
      <c r="H54" s="85" t="s">
        <v>734</v>
      </c>
      <c r="I54" s="99" t="s">
        <v>734</v>
      </c>
      <c r="J54" s="85" t="s">
        <v>292</v>
      </c>
    </row>
    <row r="55" spans="2:16" s="93" customFormat="1" ht="24" customHeight="1">
      <c r="B55" s="99">
        <v>5608</v>
      </c>
      <c r="C55" s="100" t="s">
        <v>849</v>
      </c>
      <c r="D55" s="84" t="s">
        <v>655</v>
      </c>
      <c r="E55" s="101" t="s">
        <v>850</v>
      </c>
      <c r="F55" s="111" t="s">
        <v>851</v>
      </c>
      <c r="G55" s="101" t="s">
        <v>852</v>
      </c>
      <c r="H55" s="112" t="s">
        <v>734</v>
      </c>
      <c r="I55" s="99" t="s">
        <v>734</v>
      </c>
      <c r="J55" s="112" t="s">
        <v>292</v>
      </c>
    </row>
    <row r="56" spans="2:16" s="93" customFormat="1" ht="24" customHeight="1">
      <c r="B56" s="99">
        <v>4604</v>
      </c>
      <c r="C56" s="100" t="s">
        <v>853</v>
      </c>
      <c r="D56" s="107" t="s">
        <v>751</v>
      </c>
      <c r="E56" s="101" t="s">
        <v>854</v>
      </c>
      <c r="F56" s="84" t="s">
        <v>855</v>
      </c>
      <c r="G56" s="101" t="s">
        <v>856</v>
      </c>
      <c r="H56" s="85" t="s">
        <v>734</v>
      </c>
      <c r="I56" s="99" t="s">
        <v>734</v>
      </c>
      <c r="J56" s="85" t="s">
        <v>292</v>
      </c>
    </row>
    <row r="57" spans="2:16" s="93" customFormat="1" ht="24" customHeight="1">
      <c r="B57" s="103">
        <v>4001</v>
      </c>
      <c r="C57" s="104" t="s">
        <v>857</v>
      </c>
      <c r="D57" s="84" t="s">
        <v>821</v>
      </c>
      <c r="E57" s="106" t="s">
        <v>858</v>
      </c>
      <c r="F57" s="107" t="s">
        <v>858</v>
      </c>
      <c r="G57" s="106" t="s">
        <v>859</v>
      </c>
      <c r="H57" s="108" t="s">
        <v>734</v>
      </c>
      <c r="I57" s="109" t="s">
        <v>734</v>
      </c>
      <c r="J57" s="108" t="s">
        <v>292</v>
      </c>
      <c r="K57" s="110"/>
      <c r="L57" s="110"/>
      <c r="M57" s="110"/>
      <c r="N57" s="110"/>
      <c r="O57" s="110"/>
      <c r="P57" s="110"/>
    </row>
    <row r="58" spans="2:16" s="93" customFormat="1" ht="24" customHeight="1">
      <c r="B58" s="103">
        <v>4549</v>
      </c>
      <c r="C58" s="104" t="s">
        <v>860</v>
      </c>
      <c r="D58" s="84" t="s">
        <v>773</v>
      </c>
      <c r="E58" s="106" t="s">
        <v>861</v>
      </c>
      <c r="F58" s="107" t="s">
        <v>862</v>
      </c>
      <c r="G58" s="106" t="s">
        <v>863</v>
      </c>
      <c r="H58" s="108" t="s">
        <v>734</v>
      </c>
      <c r="I58" s="109" t="s">
        <v>734</v>
      </c>
      <c r="J58" s="108" t="s">
        <v>292</v>
      </c>
    </row>
    <row r="59" spans="2:16" s="93" customFormat="1" ht="24" customHeight="1">
      <c r="B59" s="103">
        <v>4023</v>
      </c>
      <c r="C59" s="104" t="s">
        <v>864</v>
      </c>
      <c r="D59" s="84" t="s">
        <v>643</v>
      </c>
      <c r="E59" s="106" t="s">
        <v>865</v>
      </c>
      <c r="F59" s="107"/>
      <c r="G59" s="106" t="s">
        <v>866</v>
      </c>
      <c r="H59" s="108" t="s">
        <v>734</v>
      </c>
      <c r="I59" s="109" t="s">
        <v>734</v>
      </c>
      <c r="J59" s="108" t="s">
        <v>292</v>
      </c>
    </row>
    <row r="60" spans="2:16" s="93" customFormat="1" ht="24" customHeight="1">
      <c r="B60" s="99">
        <v>5610</v>
      </c>
      <c r="C60" s="100" t="s">
        <v>867</v>
      </c>
      <c r="D60" s="84" t="s">
        <v>643</v>
      </c>
      <c r="E60" s="101" t="s">
        <v>868</v>
      </c>
      <c r="F60" s="111" t="s">
        <v>869</v>
      </c>
      <c r="G60" s="101" t="s">
        <v>870</v>
      </c>
      <c r="H60" s="112" t="s">
        <v>734</v>
      </c>
      <c r="I60" s="99" t="s">
        <v>734</v>
      </c>
      <c r="J60" s="112" t="s">
        <v>292</v>
      </c>
    </row>
    <row r="61" spans="2:16" s="93" customFormat="1" ht="24" customHeight="1">
      <c r="B61" s="103">
        <v>4104</v>
      </c>
      <c r="C61" s="104" t="s">
        <v>871</v>
      </c>
      <c r="D61" s="105" t="s">
        <v>659</v>
      </c>
      <c r="E61" s="106" t="s">
        <v>872</v>
      </c>
      <c r="F61" s="107"/>
      <c r="G61" s="106" t="s">
        <v>873</v>
      </c>
      <c r="H61" s="108" t="s">
        <v>734</v>
      </c>
      <c r="I61" s="109" t="s">
        <v>734</v>
      </c>
      <c r="J61" s="108" t="s">
        <v>292</v>
      </c>
    </row>
    <row r="62" spans="2:16" s="93" customFormat="1" ht="24" customHeight="1">
      <c r="B62" s="103">
        <v>4075</v>
      </c>
      <c r="C62" s="104" t="s">
        <v>874</v>
      </c>
      <c r="D62" s="105" t="s">
        <v>682</v>
      </c>
      <c r="E62" s="106" t="s">
        <v>875</v>
      </c>
      <c r="F62" s="107"/>
      <c r="G62" s="106" t="s">
        <v>876</v>
      </c>
      <c r="H62" s="108" t="s">
        <v>734</v>
      </c>
      <c r="I62" s="109" t="s">
        <v>734</v>
      </c>
      <c r="J62" s="108" t="s">
        <v>292</v>
      </c>
    </row>
    <row r="63" spans="2:16" s="93" customFormat="1" ht="24" customHeight="1">
      <c r="B63" s="99">
        <v>5758</v>
      </c>
      <c r="C63" s="100" t="s">
        <v>877</v>
      </c>
      <c r="D63" s="84" t="s">
        <v>643</v>
      </c>
      <c r="E63" s="101" t="s">
        <v>878</v>
      </c>
      <c r="F63" s="111" t="s">
        <v>879</v>
      </c>
      <c r="G63" s="101" t="s">
        <v>880</v>
      </c>
      <c r="H63" s="112" t="s">
        <v>734</v>
      </c>
      <c r="I63" s="99" t="s">
        <v>734</v>
      </c>
      <c r="J63" s="112" t="s">
        <v>292</v>
      </c>
    </row>
    <row r="64" spans="2:16" s="93" customFormat="1" ht="24" customHeight="1">
      <c r="B64" s="99">
        <v>5730</v>
      </c>
      <c r="C64" s="100" t="s">
        <v>881</v>
      </c>
      <c r="D64" s="111" t="s">
        <v>672</v>
      </c>
      <c r="E64" s="101" t="s">
        <v>882</v>
      </c>
      <c r="F64" s="111" t="s">
        <v>883</v>
      </c>
      <c r="G64" s="101" t="s">
        <v>884</v>
      </c>
      <c r="H64" s="112" t="s">
        <v>734</v>
      </c>
      <c r="I64" s="99" t="s">
        <v>734</v>
      </c>
      <c r="J64" s="112" t="s">
        <v>292</v>
      </c>
    </row>
    <row r="65" spans="2:10" s="93" customFormat="1" ht="24" customHeight="1">
      <c r="B65" s="99">
        <v>5731</v>
      </c>
      <c r="C65" s="100" t="s">
        <v>885</v>
      </c>
      <c r="D65" s="111" t="s">
        <v>773</v>
      </c>
      <c r="E65" s="101" t="s">
        <v>886</v>
      </c>
      <c r="F65" s="111" t="s">
        <v>887</v>
      </c>
      <c r="G65" s="101" t="s">
        <v>888</v>
      </c>
      <c r="H65" s="85" t="s">
        <v>734</v>
      </c>
      <c r="I65" s="99" t="s">
        <v>734</v>
      </c>
      <c r="J65" s="85" t="s">
        <v>292</v>
      </c>
    </row>
    <row r="66" spans="2:10" s="93" customFormat="1" ht="24" customHeight="1">
      <c r="B66" s="99">
        <v>5739</v>
      </c>
      <c r="C66" s="100" t="s">
        <v>889</v>
      </c>
      <c r="D66" s="111" t="s">
        <v>890</v>
      </c>
      <c r="E66" s="101" t="s">
        <v>891</v>
      </c>
      <c r="F66" s="111" t="s">
        <v>892</v>
      </c>
      <c r="G66" s="101" t="s">
        <v>893</v>
      </c>
      <c r="H66" s="85" t="s">
        <v>734</v>
      </c>
      <c r="I66" s="99" t="s">
        <v>734</v>
      </c>
      <c r="J66" s="85" t="s">
        <v>292</v>
      </c>
    </row>
    <row r="67" spans="2:10" s="93" customFormat="1" ht="24" customHeight="1">
      <c r="B67" s="99">
        <v>5759</v>
      </c>
      <c r="C67" s="100" t="s">
        <v>894</v>
      </c>
      <c r="D67" s="84" t="s">
        <v>643</v>
      </c>
      <c r="E67" s="101" t="s">
        <v>895</v>
      </c>
      <c r="F67" s="111" t="s">
        <v>896</v>
      </c>
      <c r="G67" s="101" t="s">
        <v>897</v>
      </c>
      <c r="H67" s="85" t="s">
        <v>734</v>
      </c>
      <c r="I67" s="99" t="s">
        <v>734</v>
      </c>
      <c r="J67" s="112" t="s">
        <v>292</v>
      </c>
    </row>
    <row r="68" spans="2:10" s="93" customFormat="1" ht="24" customHeight="1">
      <c r="B68" s="99">
        <v>5878</v>
      </c>
      <c r="C68" s="100" t="s">
        <v>898</v>
      </c>
      <c r="D68" s="111" t="s">
        <v>813</v>
      </c>
      <c r="E68" s="101" t="s">
        <v>899</v>
      </c>
      <c r="F68" s="111" t="s">
        <v>900</v>
      </c>
      <c r="G68" s="101" t="s">
        <v>901</v>
      </c>
      <c r="H68" s="112" t="s">
        <v>734</v>
      </c>
      <c r="I68" s="99" t="s">
        <v>734</v>
      </c>
      <c r="J68" s="112" t="s">
        <v>292</v>
      </c>
    </row>
    <row r="69" spans="2:10" s="93" customFormat="1" ht="24" customHeight="1">
      <c r="B69" s="99">
        <v>3406</v>
      </c>
      <c r="C69" s="100" t="s">
        <v>902</v>
      </c>
      <c r="D69" s="105" t="s">
        <v>798</v>
      </c>
      <c r="E69" s="101" t="s">
        <v>903</v>
      </c>
      <c r="F69" s="84" t="s">
        <v>904</v>
      </c>
      <c r="G69" s="101" t="s">
        <v>905</v>
      </c>
      <c r="H69" s="85" t="s">
        <v>906</v>
      </c>
      <c r="I69" s="99" t="s">
        <v>734</v>
      </c>
      <c r="J69" s="85" t="s">
        <v>292</v>
      </c>
    </row>
    <row r="70" spans="2:10" s="93" customFormat="1" ht="24" customHeight="1">
      <c r="B70" s="103">
        <v>4798</v>
      </c>
      <c r="C70" s="104" t="s">
        <v>907</v>
      </c>
      <c r="D70" s="84" t="s">
        <v>672</v>
      </c>
      <c r="E70" s="106" t="s">
        <v>908</v>
      </c>
      <c r="F70" s="107" t="s">
        <v>909</v>
      </c>
      <c r="G70" s="106" t="s">
        <v>910</v>
      </c>
      <c r="H70" s="108" t="s">
        <v>906</v>
      </c>
      <c r="I70" s="109" t="s">
        <v>734</v>
      </c>
      <c r="J70" s="108" t="s">
        <v>292</v>
      </c>
    </row>
    <row r="71" spans="2:10" s="93" customFormat="1" ht="24" customHeight="1">
      <c r="B71" s="103">
        <v>4780</v>
      </c>
      <c r="C71" s="104" t="s">
        <v>911</v>
      </c>
      <c r="D71" s="84" t="s">
        <v>655</v>
      </c>
      <c r="E71" s="106" t="s">
        <v>912</v>
      </c>
      <c r="F71" s="107" t="s">
        <v>913</v>
      </c>
      <c r="G71" s="106" t="s">
        <v>914</v>
      </c>
      <c r="H71" s="108" t="s">
        <v>906</v>
      </c>
      <c r="I71" s="109" t="s">
        <v>734</v>
      </c>
      <c r="J71" s="108" t="s">
        <v>292</v>
      </c>
    </row>
    <row r="72" spans="2:10" s="93" customFormat="1" ht="24" customHeight="1">
      <c r="B72" s="99">
        <v>5688</v>
      </c>
      <c r="C72" s="100" t="s">
        <v>915</v>
      </c>
      <c r="D72" s="84" t="s">
        <v>643</v>
      </c>
      <c r="E72" s="101" t="s">
        <v>916</v>
      </c>
      <c r="F72" s="111" t="s">
        <v>917</v>
      </c>
      <c r="G72" s="101" t="s">
        <v>918</v>
      </c>
      <c r="H72" s="112" t="s">
        <v>906</v>
      </c>
      <c r="I72" s="99" t="s">
        <v>734</v>
      </c>
      <c r="J72" s="112" t="s">
        <v>292</v>
      </c>
    </row>
    <row r="73" spans="2:10" s="93" customFormat="1" ht="24" customHeight="1">
      <c r="B73" s="99">
        <v>2877</v>
      </c>
      <c r="C73" s="100" t="s">
        <v>919</v>
      </c>
      <c r="D73" s="84" t="s">
        <v>643</v>
      </c>
      <c r="E73" s="101" t="s">
        <v>920</v>
      </c>
      <c r="F73" s="84" t="s">
        <v>921</v>
      </c>
      <c r="G73" s="101" t="s">
        <v>922</v>
      </c>
      <c r="H73" s="85" t="s">
        <v>923</v>
      </c>
      <c r="I73" s="99" t="s">
        <v>734</v>
      </c>
      <c r="J73" s="85" t="s">
        <v>292</v>
      </c>
    </row>
    <row r="74" spans="2:10" s="93" customFormat="1" ht="24" customHeight="1">
      <c r="B74" s="99">
        <v>2109</v>
      </c>
      <c r="C74" s="100" t="s">
        <v>924</v>
      </c>
      <c r="D74" s="84" t="s">
        <v>682</v>
      </c>
      <c r="E74" s="101" t="s">
        <v>925</v>
      </c>
      <c r="F74" s="84" t="s">
        <v>926</v>
      </c>
      <c r="G74" s="101" t="s">
        <v>927</v>
      </c>
      <c r="H74" s="85" t="s">
        <v>923</v>
      </c>
      <c r="I74" s="99" t="s">
        <v>734</v>
      </c>
      <c r="J74" s="85" t="s">
        <v>292</v>
      </c>
    </row>
    <row r="75" spans="2:10" s="93" customFormat="1" ht="24" customHeight="1">
      <c r="B75" s="99">
        <v>1972</v>
      </c>
      <c r="C75" s="100" t="s">
        <v>928</v>
      </c>
      <c r="D75" s="84" t="s">
        <v>650</v>
      </c>
      <c r="E75" s="101" t="s">
        <v>929</v>
      </c>
      <c r="F75" s="84" t="s">
        <v>930</v>
      </c>
      <c r="G75" s="101" t="s">
        <v>931</v>
      </c>
      <c r="H75" s="85" t="s">
        <v>923</v>
      </c>
      <c r="I75" s="99" t="s">
        <v>734</v>
      </c>
      <c r="J75" s="85" t="s">
        <v>292</v>
      </c>
    </row>
    <row r="76" spans="2:10" s="93" customFormat="1" ht="24" customHeight="1">
      <c r="B76" s="99">
        <v>3114</v>
      </c>
      <c r="C76" s="100" t="s">
        <v>932</v>
      </c>
      <c r="D76" s="84" t="s">
        <v>643</v>
      </c>
      <c r="E76" s="101" t="s">
        <v>933</v>
      </c>
      <c r="F76" s="84" t="s">
        <v>934</v>
      </c>
      <c r="G76" s="101" t="s">
        <v>935</v>
      </c>
      <c r="H76" s="85" t="s">
        <v>923</v>
      </c>
      <c r="I76" s="99" t="s">
        <v>734</v>
      </c>
      <c r="J76" s="85" t="s">
        <v>292</v>
      </c>
    </row>
    <row r="77" spans="2:10" s="93" customFormat="1" ht="24" customHeight="1">
      <c r="B77" s="99">
        <v>3251</v>
      </c>
      <c r="C77" s="100" t="s">
        <v>936</v>
      </c>
      <c r="D77" s="84" t="s">
        <v>643</v>
      </c>
      <c r="E77" s="101" t="s">
        <v>937</v>
      </c>
      <c r="F77" s="84" t="s">
        <v>938</v>
      </c>
      <c r="G77" s="101" t="s">
        <v>939</v>
      </c>
      <c r="H77" s="85" t="s">
        <v>923</v>
      </c>
      <c r="I77" s="99" t="s">
        <v>734</v>
      </c>
      <c r="J77" s="85" t="s">
        <v>292</v>
      </c>
    </row>
    <row r="78" spans="2:10" s="93" customFormat="1" ht="24" customHeight="1">
      <c r="B78" s="99">
        <v>2152</v>
      </c>
      <c r="C78" s="100" t="s">
        <v>940</v>
      </c>
      <c r="D78" s="84" t="s">
        <v>744</v>
      </c>
      <c r="E78" s="101" t="s">
        <v>941</v>
      </c>
      <c r="F78" s="84" t="s">
        <v>942</v>
      </c>
      <c r="G78" s="101" t="s">
        <v>943</v>
      </c>
      <c r="H78" s="85" t="s">
        <v>923</v>
      </c>
      <c r="I78" s="99" t="s">
        <v>734</v>
      </c>
      <c r="J78" s="85" t="s">
        <v>292</v>
      </c>
    </row>
    <row r="79" spans="2:10" s="93" customFormat="1" ht="24" customHeight="1">
      <c r="B79" s="99">
        <v>2065</v>
      </c>
      <c r="C79" s="100" t="s">
        <v>944</v>
      </c>
      <c r="D79" s="84" t="s">
        <v>744</v>
      </c>
      <c r="E79" s="101" t="s">
        <v>945</v>
      </c>
      <c r="F79" s="84" t="s">
        <v>946</v>
      </c>
      <c r="G79" s="101" t="s">
        <v>947</v>
      </c>
      <c r="H79" s="85" t="s">
        <v>923</v>
      </c>
      <c r="I79" s="99" t="s">
        <v>734</v>
      </c>
      <c r="J79" s="85" t="s">
        <v>292</v>
      </c>
    </row>
    <row r="80" spans="2:10" s="93" customFormat="1" ht="24" customHeight="1">
      <c r="B80" s="99">
        <v>4612</v>
      </c>
      <c r="C80" s="100" t="s">
        <v>948</v>
      </c>
      <c r="D80" s="84" t="s">
        <v>713</v>
      </c>
      <c r="E80" s="101" t="s">
        <v>949</v>
      </c>
      <c r="F80" s="84" t="s">
        <v>950</v>
      </c>
      <c r="G80" s="101" t="s">
        <v>951</v>
      </c>
      <c r="H80" s="85" t="s">
        <v>923</v>
      </c>
      <c r="I80" s="99" t="s">
        <v>734</v>
      </c>
      <c r="J80" s="85" t="s">
        <v>292</v>
      </c>
    </row>
    <row r="81" spans="2:16" s="93" customFormat="1" ht="24" customHeight="1">
      <c r="B81" s="99">
        <v>3378</v>
      </c>
      <c r="C81" s="100" t="s">
        <v>952</v>
      </c>
      <c r="D81" s="84" t="s">
        <v>672</v>
      </c>
      <c r="E81" s="101" t="s">
        <v>953</v>
      </c>
      <c r="F81" s="84" t="s">
        <v>954</v>
      </c>
      <c r="G81" s="101" t="s">
        <v>955</v>
      </c>
      <c r="H81" s="85" t="s">
        <v>923</v>
      </c>
      <c r="I81" s="99" t="s">
        <v>734</v>
      </c>
      <c r="J81" s="85" t="s">
        <v>292</v>
      </c>
    </row>
    <row r="82" spans="2:16" s="93" customFormat="1" ht="24" customHeight="1">
      <c r="B82" s="103">
        <v>4622</v>
      </c>
      <c r="C82" s="104" t="s">
        <v>956</v>
      </c>
      <c r="D82" s="84" t="s">
        <v>744</v>
      </c>
      <c r="E82" s="106" t="s">
        <v>957</v>
      </c>
      <c r="F82" s="107" t="s">
        <v>958</v>
      </c>
      <c r="G82" s="106" t="s">
        <v>959</v>
      </c>
      <c r="H82" s="108" t="s">
        <v>923</v>
      </c>
      <c r="I82" s="109" t="s">
        <v>734</v>
      </c>
      <c r="J82" s="108" t="s">
        <v>292</v>
      </c>
    </row>
    <row r="83" spans="2:16" s="93" customFormat="1" ht="24" customHeight="1">
      <c r="B83" s="99">
        <v>2077</v>
      </c>
      <c r="C83" s="100" t="s">
        <v>960</v>
      </c>
      <c r="D83" s="84" t="s">
        <v>682</v>
      </c>
      <c r="E83" s="101" t="s">
        <v>961</v>
      </c>
      <c r="F83" s="84" t="s">
        <v>962</v>
      </c>
      <c r="G83" s="101" t="s">
        <v>963</v>
      </c>
      <c r="H83" s="85" t="s">
        <v>923</v>
      </c>
      <c r="I83" s="99" t="s">
        <v>734</v>
      </c>
      <c r="J83" s="85" t="s">
        <v>292</v>
      </c>
    </row>
    <row r="84" spans="2:16" s="93" customFormat="1" ht="24" customHeight="1">
      <c r="B84" s="99">
        <v>2075</v>
      </c>
      <c r="C84" s="100" t="s">
        <v>964</v>
      </c>
      <c r="D84" s="84" t="s">
        <v>682</v>
      </c>
      <c r="E84" s="101" t="s">
        <v>961</v>
      </c>
      <c r="F84" s="84" t="s">
        <v>965</v>
      </c>
      <c r="G84" s="101" t="s">
        <v>963</v>
      </c>
      <c r="H84" s="85" t="s">
        <v>923</v>
      </c>
      <c r="I84" s="99" t="s">
        <v>734</v>
      </c>
      <c r="J84" s="85" t="s">
        <v>292</v>
      </c>
    </row>
    <row r="85" spans="2:16" s="93" customFormat="1" ht="24" customHeight="1">
      <c r="B85" s="99">
        <v>2876</v>
      </c>
      <c r="C85" s="100" t="s">
        <v>966</v>
      </c>
      <c r="D85" s="84" t="s">
        <v>682</v>
      </c>
      <c r="E85" s="101" t="s">
        <v>920</v>
      </c>
      <c r="F85" s="84"/>
      <c r="G85" s="101" t="s">
        <v>922</v>
      </c>
      <c r="H85" s="85" t="s">
        <v>923</v>
      </c>
      <c r="I85" s="99" t="s">
        <v>734</v>
      </c>
      <c r="J85" s="85" t="s">
        <v>292</v>
      </c>
    </row>
    <row r="86" spans="2:16" s="93" customFormat="1" ht="24" customHeight="1">
      <c r="B86" s="99">
        <v>2019</v>
      </c>
      <c r="C86" s="100" t="s">
        <v>967</v>
      </c>
      <c r="D86" s="84" t="s">
        <v>677</v>
      </c>
      <c r="E86" s="101" t="s">
        <v>968</v>
      </c>
      <c r="F86" s="84" t="s">
        <v>969</v>
      </c>
      <c r="G86" s="101" t="s">
        <v>970</v>
      </c>
      <c r="H86" s="85" t="s">
        <v>923</v>
      </c>
      <c r="I86" s="99" t="s">
        <v>734</v>
      </c>
      <c r="J86" s="85" t="s">
        <v>292</v>
      </c>
    </row>
    <row r="87" spans="2:16" s="93" customFormat="1" ht="24" customHeight="1">
      <c r="B87" s="99">
        <v>1971</v>
      </c>
      <c r="C87" s="100" t="s">
        <v>971</v>
      </c>
      <c r="D87" s="84" t="s">
        <v>650</v>
      </c>
      <c r="E87" s="101" t="s">
        <v>972</v>
      </c>
      <c r="F87" s="84" t="s">
        <v>973</v>
      </c>
      <c r="G87" s="101" t="s">
        <v>931</v>
      </c>
      <c r="H87" s="85" t="s">
        <v>923</v>
      </c>
      <c r="I87" s="99" t="s">
        <v>734</v>
      </c>
      <c r="J87" s="85" t="s">
        <v>292</v>
      </c>
    </row>
    <row r="88" spans="2:16" s="93" customFormat="1" ht="24" customHeight="1">
      <c r="B88" s="99">
        <v>5609</v>
      </c>
      <c r="C88" s="100" t="s">
        <v>974</v>
      </c>
      <c r="D88" s="111" t="s">
        <v>659</v>
      </c>
      <c r="E88" s="101" t="s">
        <v>975</v>
      </c>
      <c r="F88" s="111" t="s">
        <v>976</v>
      </c>
      <c r="G88" s="101" t="s">
        <v>977</v>
      </c>
      <c r="H88" s="112" t="s">
        <v>923</v>
      </c>
      <c r="I88" s="99" t="s">
        <v>734</v>
      </c>
      <c r="J88" s="112" t="s">
        <v>292</v>
      </c>
    </row>
    <row r="89" spans="2:16" s="93" customFormat="1" ht="24" customHeight="1">
      <c r="B89" s="99">
        <v>5540</v>
      </c>
      <c r="C89" s="100" t="s">
        <v>978</v>
      </c>
      <c r="D89" s="84" t="s">
        <v>643</v>
      </c>
      <c r="E89" s="101" t="s">
        <v>979</v>
      </c>
      <c r="F89" s="84" t="s">
        <v>980</v>
      </c>
      <c r="G89" s="101" t="s">
        <v>981</v>
      </c>
      <c r="H89" s="99" t="s">
        <v>923</v>
      </c>
      <c r="I89" s="99" t="s">
        <v>734</v>
      </c>
      <c r="J89" s="85" t="s">
        <v>292</v>
      </c>
    </row>
    <row r="90" spans="2:16" s="93" customFormat="1" ht="24" customHeight="1">
      <c r="B90" s="99">
        <v>5752</v>
      </c>
      <c r="C90" s="100" t="s">
        <v>982</v>
      </c>
      <c r="D90" s="111" t="s">
        <v>682</v>
      </c>
      <c r="E90" s="101" t="s">
        <v>983</v>
      </c>
      <c r="F90" s="111" t="s">
        <v>984</v>
      </c>
      <c r="G90" s="101" t="s">
        <v>985</v>
      </c>
      <c r="H90" s="112" t="s">
        <v>923</v>
      </c>
      <c r="I90" s="99" t="s">
        <v>734</v>
      </c>
      <c r="J90" s="112" t="s">
        <v>292</v>
      </c>
    </row>
    <row r="91" spans="2:16" s="93" customFormat="1" ht="24" customHeight="1">
      <c r="B91" s="99">
        <v>3301</v>
      </c>
      <c r="C91" s="100" t="s">
        <v>986</v>
      </c>
      <c r="D91" s="84" t="s">
        <v>659</v>
      </c>
      <c r="E91" s="101" t="s">
        <v>987</v>
      </c>
      <c r="F91" s="84" t="s">
        <v>988</v>
      </c>
      <c r="G91" s="101" t="s">
        <v>989</v>
      </c>
      <c r="H91" s="85" t="s">
        <v>990</v>
      </c>
      <c r="I91" s="99" t="s">
        <v>734</v>
      </c>
      <c r="J91" s="85" t="s">
        <v>292</v>
      </c>
    </row>
    <row r="92" spans="2:16" s="93" customFormat="1" ht="24" customHeight="1">
      <c r="B92" s="99">
        <v>3286</v>
      </c>
      <c r="C92" s="100" t="s">
        <v>991</v>
      </c>
      <c r="D92" s="84" t="s">
        <v>682</v>
      </c>
      <c r="E92" s="101" t="s">
        <v>992</v>
      </c>
      <c r="F92" s="84" t="s">
        <v>993</v>
      </c>
      <c r="G92" s="101" t="s">
        <v>994</v>
      </c>
      <c r="H92" s="85" t="s">
        <v>990</v>
      </c>
      <c r="I92" s="99" t="s">
        <v>734</v>
      </c>
      <c r="J92" s="85" t="s">
        <v>292</v>
      </c>
    </row>
    <row r="93" spans="2:16" s="93" customFormat="1" ht="24" customHeight="1">
      <c r="B93" s="99">
        <v>3291</v>
      </c>
      <c r="C93" s="100" t="s">
        <v>995</v>
      </c>
      <c r="D93" s="84" t="s">
        <v>821</v>
      </c>
      <c r="E93" s="101" t="s">
        <v>996</v>
      </c>
      <c r="F93" s="84" t="s">
        <v>997</v>
      </c>
      <c r="G93" s="101" t="s">
        <v>998</v>
      </c>
      <c r="H93" s="85" t="s">
        <v>990</v>
      </c>
      <c r="I93" s="99" t="s">
        <v>734</v>
      </c>
      <c r="J93" s="85" t="s">
        <v>292</v>
      </c>
    </row>
    <row r="94" spans="2:16" s="93" customFormat="1" ht="24" customHeight="1">
      <c r="B94" s="99">
        <v>3113</v>
      </c>
      <c r="C94" s="100" t="s">
        <v>999</v>
      </c>
      <c r="D94" s="84" t="s">
        <v>643</v>
      </c>
      <c r="E94" s="101" t="s">
        <v>1000</v>
      </c>
      <c r="F94" s="84" t="s">
        <v>1001</v>
      </c>
      <c r="G94" s="101" t="s">
        <v>1002</v>
      </c>
      <c r="H94" s="85" t="s">
        <v>1003</v>
      </c>
      <c r="I94" s="99" t="s">
        <v>734</v>
      </c>
      <c r="J94" s="85" t="s">
        <v>292</v>
      </c>
    </row>
    <row r="95" spans="2:16" s="93" customFormat="1" ht="24" customHeight="1">
      <c r="B95" s="99">
        <v>2067</v>
      </c>
      <c r="C95" s="100" t="s">
        <v>1004</v>
      </c>
      <c r="D95" s="84" t="s">
        <v>672</v>
      </c>
      <c r="E95" s="101" t="s">
        <v>1005</v>
      </c>
      <c r="F95" s="84" t="s">
        <v>1006</v>
      </c>
      <c r="G95" s="101" t="s">
        <v>1007</v>
      </c>
      <c r="H95" s="85" t="s">
        <v>1003</v>
      </c>
      <c r="I95" s="99" t="s">
        <v>734</v>
      </c>
      <c r="J95" s="85" t="s">
        <v>292</v>
      </c>
      <c r="K95" s="110"/>
      <c r="L95" s="110"/>
      <c r="M95" s="110"/>
      <c r="N95" s="110"/>
      <c r="O95" s="110"/>
      <c r="P95" s="110"/>
    </row>
    <row r="96" spans="2:16" s="93" customFormat="1" ht="24" customHeight="1">
      <c r="B96" s="99">
        <v>5339</v>
      </c>
      <c r="C96" s="100" t="s">
        <v>1008</v>
      </c>
      <c r="D96" s="84" t="s">
        <v>643</v>
      </c>
      <c r="E96" s="101" t="s">
        <v>1009</v>
      </c>
      <c r="F96" s="84" t="s">
        <v>1010</v>
      </c>
      <c r="G96" s="101" t="s">
        <v>1011</v>
      </c>
      <c r="H96" s="85" t="s">
        <v>1012</v>
      </c>
      <c r="I96" s="99" t="s">
        <v>734</v>
      </c>
      <c r="J96" s="85" t="s">
        <v>292</v>
      </c>
      <c r="K96" s="110"/>
      <c r="L96" s="110"/>
      <c r="M96" s="110"/>
      <c r="N96" s="110"/>
      <c r="O96" s="110"/>
      <c r="P96" s="110"/>
    </row>
    <row r="97" spans="2:10" s="93" customFormat="1" ht="24" customHeight="1">
      <c r="B97" s="99">
        <v>5320</v>
      </c>
      <c r="C97" s="100" t="s">
        <v>1013</v>
      </c>
      <c r="D97" s="84" t="s">
        <v>672</v>
      </c>
      <c r="E97" s="101" t="s">
        <v>1014</v>
      </c>
      <c r="F97" s="84" t="s">
        <v>1015</v>
      </c>
      <c r="G97" s="101" t="s">
        <v>1016</v>
      </c>
      <c r="H97" s="85" t="s">
        <v>1012</v>
      </c>
      <c r="I97" s="99" t="s">
        <v>734</v>
      </c>
      <c r="J97" s="85" t="s">
        <v>292</v>
      </c>
    </row>
    <row r="98" spans="2:10" s="93" customFormat="1" ht="24" customHeight="1">
      <c r="B98" s="99">
        <v>3211</v>
      </c>
      <c r="C98" s="100" t="s">
        <v>1017</v>
      </c>
      <c r="D98" s="84" t="s">
        <v>650</v>
      </c>
      <c r="E98" s="101" t="s">
        <v>1018</v>
      </c>
      <c r="F98" s="84" t="s">
        <v>1019</v>
      </c>
      <c r="G98" s="101" t="s">
        <v>1020</v>
      </c>
      <c r="H98" s="85" t="s">
        <v>1021</v>
      </c>
      <c r="I98" s="99" t="s">
        <v>1021</v>
      </c>
      <c r="J98" s="85" t="s">
        <v>292</v>
      </c>
    </row>
    <row r="99" spans="2:10" s="93" customFormat="1" ht="24" customHeight="1">
      <c r="B99" s="99">
        <v>5120</v>
      </c>
      <c r="C99" s="100" t="s">
        <v>1022</v>
      </c>
      <c r="D99" s="84" t="s">
        <v>659</v>
      </c>
      <c r="E99" s="101" t="s">
        <v>1023</v>
      </c>
      <c r="F99" s="84" t="s">
        <v>1024</v>
      </c>
      <c r="G99" s="101" t="s">
        <v>1025</v>
      </c>
      <c r="H99" s="85" t="s">
        <v>1021</v>
      </c>
      <c r="I99" s="99" t="s">
        <v>1021</v>
      </c>
      <c r="J99" s="85" t="s">
        <v>292</v>
      </c>
    </row>
    <row r="100" spans="2:10" s="93" customFormat="1" ht="24" customHeight="1">
      <c r="B100" s="99">
        <v>4144</v>
      </c>
      <c r="C100" s="100" t="s">
        <v>1026</v>
      </c>
      <c r="D100" s="84" t="s">
        <v>643</v>
      </c>
      <c r="E100" s="101" t="s">
        <v>1027</v>
      </c>
      <c r="F100" s="84" t="s">
        <v>1028</v>
      </c>
      <c r="G100" s="101" t="s">
        <v>1029</v>
      </c>
      <c r="H100" s="85" t="s">
        <v>923</v>
      </c>
      <c r="I100" s="99" t="s">
        <v>1021</v>
      </c>
      <c r="J100" s="85" t="s">
        <v>292</v>
      </c>
    </row>
    <row r="101" spans="2:10" s="93" customFormat="1" ht="24" customHeight="1">
      <c r="B101" s="99">
        <v>3056</v>
      </c>
      <c r="C101" s="100" t="s">
        <v>1030</v>
      </c>
      <c r="D101" s="84" t="s">
        <v>1031</v>
      </c>
      <c r="E101" s="101" t="s">
        <v>1032</v>
      </c>
      <c r="F101" s="84" t="s">
        <v>1033</v>
      </c>
      <c r="G101" s="101" t="s">
        <v>1034</v>
      </c>
      <c r="H101" s="85" t="s">
        <v>1035</v>
      </c>
      <c r="I101" s="99" t="s">
        <v>1035</v>
      </c>
      <c r="J101" s="85" t="s">
        <v>292</v>
      </c>
    </row>
    <row r="102" spans="2:10" s="93" customFormat="1" ht="24" customHeight="1">
      <c r="B102" s="103">
        <v>4134</v>
      </c>
      <c r="C102" s="104" t="s">
        <v>1036</v>
      </c>
      <c r="D102" s="84" t="s">
        <v>655</v>
      </c>
      <c r="E102" s="106" t="s">
        <v>1037</v>
      </c>
      <c r="F102" s="107"/>
      <c r="G102" s="106" t="s">
        <v>1038</v>
      </c>
      <c r="H102" s="108" t="s">
        <v>1035</v>
      </c>
      <c r="I102" s="109" t="s">
        <v>1035</v>
      </c>
      <c r="J102" s="108" t="s">
        <v>292</v>
      </c>
    </row>
    <row r="103" spans="2:10" s="93" customFormat="1" ht="24" customHeight="1">
      <c r="B103" s="99">
        <v>2277</v>
      </c>
      <c r="C103" s="100" t="s">
        <v>1039</v>
      </c>
      <c r="D103" s="84" t="s">
        <v>655</v>
      </c>
      <c r="E103" s="101" t="s">
        <v>1040</v>
      </c>
      <c r="F103" s="84" t="s">
        <v>1041</v>
      </c>
      <c r="G103" s="101" t="s">
        <v>1042</v>
      </c>
      <c r="H103" s="85" t="s">
        <v>1043</v>
      </c>
      <c r="I103" s="99" t="s">
        <v>1043</v>
      </c>
      <c r="J103" s="85" t="s">
        <v>299</v>
      </c>
    </row>
    <row r="104" spans="2:10" s="93" customFormat="1" ht="24" customHeight="1">
      <c r="B104" s="99">
        <v>5018</v>
      </c>
      <c r="C104" s="100" t="s">
        <v>1044</v>
      </c>
      <c r="D104" s="84" t="s">
        <v>655</v>
      </c>
      <c r="E104" s="101" t="s">
        <v>1045</v>
      </c>
      <c r="F104" s="84" t="s">
        <v>1046</v>
      </c>
      <c r="G104" s="101" t="s">
        <v>1047</v>
      </c>
      <c r="H104" s="85" t="s">
        <v>1043</v>
      </c>
      <c r="I104" s="99" t="s">
        <v>1043</v>
      </c>
      <c r="J104" s="85" t="s">
        <v>299</v>
      </c>
    </row>
    <row r="105" spans="2:10" s="93" customFormat="1" ht="24" customHeight="1">
      <c r="B105" s="99">
        <v>5260</v>
      </c>
      <c r="C105" s="100" t="s">
        <v>1048</v>
      </c>
      <c r="D105" s="84" t="s">
        <v>655</v>
      </c>
      <c r="E105" s="101" t="s">
        <v>1049</v>
      </c>
      <c r="F105" s="84" t="s">
        <v>1050</v>
      </c>
      <c r="G105" s="101" t="s">
        <v>1051</v>
      </c>
      <c r="H105" s="85" t="s">
        <v>1043</v>
      </c>
      <c r="I105" s="99" t="s">
        <v>1043</v>
      </c>
      <c r="J105" s="85" t="s">
        <v>299</v>
      </c>
    </row>
    <row r="106" spans="2:10" s="93" customFormat="1" ht="24" customHeight="1">
      <c r="B106" s="99">
        <v>5263</v>
      </c>
      <c r="C106" s="100" t="s">
        <v>1052</v>
      </c>
      <c r="D106" s="84" t="s">
        <v>643</v>
      </c>
      <c r="E106" s="101" t="s">
        <v>1049</v>
      </c>
      <c r="F106" s="84" t="s">
        <v>1053</v>
      </c>
      <c r="G106" s="101" t="s">
        <v>1051</v>
      </c>
      <c r="H106" s="85" t="s">
        <v>1043</v>
      </c>
      <c r="I106" s="99" t="s">
        <v>1043</v>
      </c>
      <c r="J106" s="85" t="s">
        <v>299</v>
      </c>
    </row>
    <row r="107" spans="2:10" s="93" customFormat="1" ht="24" customHeight="1">
      <c r="B107" s="99">
        <v>5109</v>
      </c>
      <c r="C107" s="100" t="s">
        <v>1054</v>
      </c>
      <c r="D107" s="84" t="s">
        <v>672</v>
      </c>
      <c r="E107" s="101" t="s">
        <v>1055</v>
      </c>
      <c r="F107" s="84" t="s">
        <v>1056</v>
      </c>
      <c r="G107" s="101" t="s">
        <v>1057</v>
      </c>
      <c r="H107" s="85" t="s">
        <v>1043</v>
      </c>
      <c r="I107" s="99" t="s">
        <v>1043</v>
      </c>
      <c r="J107" s="85" t="s">
        <v>299</v>
      </c>
    </row>
    <row r="108" spans="2:10" s="93" customFormat="1" ht="24" customHeight="1">
      <c r="B108" s="99">
        <v>2045</v>
      </c>
      <c r="C108" s="100" t="s">
        <v>1058</v>
      </c>
      <c r="D108" s="84" t="s">
        <v>773</v>
      </c>
      <c r="E108" s="101" t="s">
        <v>1059</v>
      </c>
      <c r="F108" s="84" t="s">
        <v>1060</v>
      </c>
      <c r="G108" s="101" t="s">
        <v>1061</v>
      </c>
      <c r="H108" s="85" t="s">
        <v>1062</v>
      </c>
      <c r="I108" s="99" t="s">
        <v>1062</v>
      </c>
      <c r="J108" s="85" t="s">
        <v>299</v>
      </c>
    </row>
    <row r="109" spans="2:10" s="93" customFormat="1" ht="24" customHeight="1">
      <c r="B109" s="99">
        <v>4115</v>
      </c>
      <c r="C109" s="100" t="s">
        <v>1063</v>
      </c>
      <c r="D109" s="84" t="s">
        <v>821</v>
      </c>
      <c r="E109" s="101" t="s">
        <v>1064</v>
      </c>
      <c r="F109" s="84" t="s">
        <v>1065</v>
      </c>
      <c r="G109" s="101" t="s">
        <v>1066</v>
      </c>
      <c r="H109" s="85" t="s">
        <v>1067</v>
      </c>
      <c r="I109" s="99" t="s">
        <v>1067</v>
      </c>
      <c r="J109" s="85" t="s">
        <v>299</v>
      </c>
    </row>
    <row r="110" spans="2:10" s="93" customFormat="1" ht="24" customHeight="1">
      <c r="B110" s="99">
        <v>4799</v>
      </c>
      <c r="C110" s="100" t="s">
        <v>1068</v>
      </c>
      <c r="D110" s="84" t="s">
        <v>643</v>
      </c>
      <c r="E110" s="101" t="s">
        <v>1069</v>
      </c>
      <c r="F110" s="84" t="s">
        <v>1070</v>
      </c>
      <c r="G110" s="101" t="s">
        <v>1071</v>
      </c>
      <c r="H110" s="85" t="s">
        <v>1072</v>
      </c>
      <c r="I110" s="99" t="s">
        <v>1072</v>
      </c>
      <c r="J110" s="85" t="s">
        <v>299</v>
      </c>
    </row>
    <row r="111" spans="2:10" s="93" customFormat="1" ht="24" customHeight="1">
      <c r="B111" s="99">
        <v>3405</v>
      </c>
      <c r="C111" s="100" t="s">
        <v>1073</v>
      </c>
      <c r="D111" s="84" t="s">
        <v>1074</v>
      </c>
      <c r="E111" s="101" t="s">
        <v>1075</v>
      </c>
      <c r="F111" s="84" t="s">
        <v>1076</v>
      </c>
      <c r="G111" s="101" t="s">
        <v>1077</v>
      </c>
      <c r="H111" s="85" t="s">
        <v>1072</v>
      </c>
      <c r="I111" s="99" t="s">
        <v>1072</v>
      </c>
      <c r="J111" s="85" t="s">
        <v>299</v>
      </c>
    </row>
    <row r="112" spans="2:10" s="93" customFormat="1" ht="24" customHeight="1">
      <c r="B112" s="99">
        <v>3092</v>
      </c>
      <c r="C112" s="100" t="s">
        <v>1078</v>
      </c>
      <c r="D112" s="84" t="s">
        <v>655</v>
      </c>
      <c r="E112" s="101" t="s">
        <v>1079</v>
      </c>
      <c r="F112" s="84" t="s">
        <v>1080</v>
      </c>
      <c r="G112" s="101" t="s">
        <v>1081</v>
      </c>
      <c r="H112" s="85" t="s">
        <v>1072</v>
      </c>
      <c r="I112" s="99" t="s">
        <v>1072</v>
      </c>
      <c r="J112" s="85" t="s">
        <v>299</v>
      </c>
    </row>
    <row r="113" spans="2:10" s="93" customFormat="1" ht="24" customHeight="1">
      <c r="B113" s="99">
        <v>5338</v>
      </c>
      <c r="C113" s="100" t="s">
        <v>1082</v>
      </c>
      <c r="D113" s="84" t="s">
        <v>655</v>
      </c>
      <c r="E113" s="101" t="s">
        <v>1083</v>
      </c>
      <c r="F113" s="84" t="s">
        <v>1084</v>
      </c>
      <c r="G113" s="101" t="s">
        <v>1085</v>
      </c>
      <c r="H113" s="85" t="s">
        <v>1072</v>
      </c>
      <c r="I113" s="99" t="s">
        <v>1072</v>
      </c>
      <c r="J113" s="85" t="s">
        <v>299</v>
      </c>
    </row>
    <row r="114" spans="2:10" s="93" customFormat="1" ht="24" customHeight="1">
      <c r="B114" s="99">
        <v>5338</v>
      </c>
      <c r="C114" s="100" t="s">
        <v>1086</v>
      </c>
      <c r="D114" s="84" t="s">
        <v>655</v>
      </c>
      <c r="E114" s="101" t="s">
        <v>1087</v>
      </c>
      <c r="F114" s="84" t="s">
        <v>1088</v>
      </c>
      <c r="G114" s="101" t="s">
        <v>1085</v>
      </c>
      <c r="H114" s="85" t="s">
        <v>1072</v>
      </c>
      <c r="I114" s="99" t="s">
        <v>1072</v>
      </c>
      <c r="J114" s="85" t="s">
        <v>299</v>
      </c>
    </row>
    <row r="115" spans="2:10" s="93" customFormat="1" ht="24" customHeight="1">
      <c r="B115" s="99">
        <v>4555</v>
      </c>
      <c r="C115" s="100" t="s">
        <v>1089</v>
      </c>
      <c r="D115" s="84" t="s">
        <v>643</v>
      </c>
      <c r="E115" s="101" t="s">
        <v>1090</v>
      </c>
      <c r="F115" s="84" t="s">
        <v>1091</v>
      </c>
      <c r="G115" s="101" t="s">
        <v>1092</v>
      </c>
      <c r="H115" s="85" t="s">
        <v>1072</v>
      </c>
      <c r="I115" s="99" t="s">
        <v>1072</v>
      </c>
      <c r="J115" s="85" t="s">
        <v>299</v>
      </c>
    </row>
    <row r="116" spans="2:10" s="93" customFormat="1" ht="24" customHeight="1">
      <c r="B116" s="99">
        <v>5297</v>
      </c>
      <c r="C116" s="100" t="s">
        <v>1093</v>
      </c>
      <c r="D116" s="84" t="s">
        <v>655</v>
      </c>
      <c r="E116" s="101" t="s">
        <v>1094</v>
      </c>
      <c r="F116" s="84" t="s">
        <v>1095</v>
      </c>
      <c r="G116" s="101" t="s">
        <v>1096</v>
      </c>
      <c r="H116" s="85" t="s">
        <v>1097</v>
      </c>
      <c r="I116" s="99" t="s">
        <v>1072</v>
      </c>
      <c r="J116" s="85" t="s">
        <v>299</v>
      </c>
    </row>
    <row r="117" spans="2:10" s="93" customFormat="1" ht="24" customHeight="1">
      <c r="B117" s="99">
        <v>5032</v>
      </c>
      <c r="C117" s="100" t="s">
        <v>1098</v>
      </c>
      <c r="D117" s="84" t="s">
        <v>655</v>
      </c>
      <c r="E117" s="101" t="s">
        <v>1099</v>
      </c>
      <c r="F117" s="84" t="s">
        <v>1100</v>
      </c>
      <c r="G117" s="101" t="s">
        <v>1101</v>
      </c>
      <c r="H117" s="85" t="s">
        <v>1102</v>
      </c>
      <c r="I117" s="99" t="s">
        <v>1102</v>
      </c>
      <c r="J117" s="85" t="s">
        <v>299</v>
      </c>
    </row>
    <row r="118" spans="2:10" s="93" customFormat="1" ht="24" customHeight="1">
      <c r="B118" s="99">
        <v>3398</v>
      </c>
      <c r="C118" s="100" t="s">
        <v>1103</v>
      </c>
      <c r="D118" s="84" t="s">
        <v>672</v>
      </c>
      <c r="E118" s="101" t="s">
        <v>1104</v>
      </c>
      <c r="F118" s="84" t="s">
        <v>1105</v>
      </c>
      <c r="G118" s="101" t="s">
        <v>1106</v>
      </c>
      <c r="H118" s="85" t="s">
        <v>1107</v>
      </c>
      <c r="I118" s="99" t="s">
        <v>1102</v>
      </c>
      <c r="J118" s="85" t="s">
        <v>299</v>
      </c>
    </row>
    <row r="119" spans="2:10" s="93" customFormat="1" ht="24" customHeight="1">
      <c r="B119" s="99">
        <v>2097</v>
      </c>
      <c r="C119" s="100" t="s">
        <v>1108</v>
      </c>
      <c r="D119" s="84" t="s">
        <v>643</v>
      </c>
      <c r="E119" s="101" t="s">
        <v>1109</v>
      </c>
      <c r="F119" s="84"/>
      <c r="G119" s="101" t="s">
        <v>1110</v>
      </c>
      <c r="H119" s="85" t="s">
        <v>1097</v>
      </c>
      <c r="I119" s="99" t="s">
        <v>1097</v>
      </c>
      <c r="J119" s="85" t="s">
        <v>299</v>
      </c>
    </row>
    <row r="120" spans="2:10" s="93" customFormat="1" ht="24" customHeight="1">
      <c r="B120" s="99">
        <v>2052</v>
      </c>
      <c r="C120" s="100" t="s">
        <v>1111</v>
      </c>
      <c r="D120" s="84" t="s">
        <v>643</v>
      </c>
      <c r="E120" s="101" t="s">
        <v>1112</v>
      </c>
      <c r="F120" s="84" t="s">
        <v>1113</v>
      </c>
      <c r="G120" s="101" t="s">
        <v>1114</v>
      </c>
      <c r="H120" s="85" t="s">
        <v>1097</v>
      </c>
      <c r="I120" s="99" t="s">
        <v>1097</v>
      </c>
      <c r="J120" s="85" t="s">
        <v>299</v>
      </c>
    </row>
    <row r="121" spans="2:10" s="93" customFormat="1" ht="24" customHeight="1">
      <c r="B121" s="99">
        <v>2053</v>
      </c>
      <c r="C121" s="100" t="s">
        <v>1115</v>
      </c>
      <c r="D121" s="84" t="s">
        <v>650</v>
      </c>
      <c r="E121" s="101" t="s">
        <v>1116</v>
      </c>
      <c r="F121" s="84" t="s">
        <v>1117</v>
      </c>
      <c r="G121" s="101" t="s">
        <v>1118</v>
      </c>
      <c r="H121" s="85" t="s">
        <v>1097</v>
      </c>
      <c r="I121" s="99" t="s">
        <v>1097</v>
      </c>
      <c r="J121" s="85" t="s">
        <v>299</v>
      </c>
    </row>
    <row r="122" spans="2:10" s="93" customFormat="1" ht="24" customHeight="1">
      <c r="B122" s="99">
        <v>2412</v>
      </c>
      <c r="C122" s="100" t="s">
        <v>1119</v>
      </c>
      <c r="D122" s="84" t="s">
        <v>668</v>
      </c>
      <c r="E122" s="101" t="s">
        <v>1120</v>
      </c>
      <c r="F122" s="84" t="s">
        <v>1121</v>
      </c>
      <c r="G122" s="101" t="s">
        <v>1122</v>
      </c>
      <c r="H122" s="85" t="s">
        <v>1097</v>
      </c>
      <c r="I122" s="99" t="s">
        <v>1097</v>
      </c>
      <c r="J122" s="85" t="s">
        <v>299</v>
      </c>
    </row>
    <row r="123" spans="2:10" s="93" customFormat="1" ht="24" customHeight="1">
      <c r="B123" s="99">
        <v>2054</v>
      </c>
      <c r="C123" s="100" t="s">
        <v>1123</v>
      </c>
      <c r="D123" s="84" t="s">
        <v>655</v>
      </c>
      <c r="E123" s="101" t="s">
        <v>1124</v>
      </c>
      <c r="F123" s="84" t="s">
        <v>1125</v>
      </c>
      <c r="G123" s="101" t="s">
        <v>1126</v>
      </c>
      <c r="H123" s="85" t="s">
        <v>1097</v>
      </c>
      <c r="I123" s="99" t="s">
        <v>1097</v>
      </c>
      <c r="J123" s="85" t="s">
        <v>299</v>
      </c>
    </row>
    <row r="124" spans="2:10" s="93" customFormat="1" ht="24" customHeight="1">
      <c r="B124" s="99">
        <v>2035</v>
      </c>
      <c r="C124" s="100" t="s">
        <v>1127</v>
      </c>
      <c r="D124" s="84" t="s">
        <v>650</v>
      </c>
      <c r="E124" s="101" t="s">
        <v>1128</v>
      </c>
      <c r="F124" s="84" t="s">
        <v>1129</v>
      </c>
      <c r="G124" s="101" t="s">
        <v>1130</v>
      </c>
      <c r="H124" s="85" t="s">
        <v>1097</v>
      </c>
      <c r="I124" s="99" t="s">
        <v>1097</v>
      </c>
      <c r="J124" s="85" t="s">
        <v>299</v>
      </c>
    </row>
    <row r="125" spans="2:10" s="93" customFormat="1" ht="24" customHeight="1">
      <c r="B125" s="99">
        <v>2048</v>
      </c>
      <c r="C125" s="100" t="s">
        <v>1131</v>
      </c>
      <c r="D125" s="84" t="s">
        <v>655</v>
      </c>
      <c r="E125" s="101" t="s">
        <v>1132</v>
      </c>
      <c r="F125" s="84" t="s">
        <v>1133</v>
      </c>
      <c r="G125" s="101" t="s">
        <v>1134</v>
      </c>
      <c r="H125" s="85" t="s">
        <v>1097</v>
      </c>
      <c r="I125" s="99" t="s">
        <v>1097</v>
      </c>
      <c r="J125" s="85" t="s">
        <v>299</v>
      </c>
    </row>
    <row r="126" spans="2:10" s="93" customFormat="1" ht="24" customHeight="1">
      <c r="B126" s="99">
        <v>2022</v>
      </c>
      <c r="C126" s="100" t="s">
        <v>1135</v>
      </c>
      <c r="D126" s="84" t="s">
        <v>682</v>
      </c>
      <c r="E126" s="101" t="s">
        <v>1136</v>
      </c>
      <c r="F126" s="84" t="s">
        <v>1137</v>
      </c>
      <c r="G126" s="101" t="s">
        <v>1138</v>
      </c>
      <c r="H126" s="85" t="s">
        <v>1097</v>
      </c>
      <c r="I126" s="99" t="s">
        <v>1097</v>
      </c>
      <c r="J126" s="85" t="s">
        <v>299</v>
      </c>
    </row>
    <row r="127" spans="2:10" s="93" customFormat="1" ht="24" customHeight="1">
      <c r="B127" s="99">
        <v>2036</v>
      </c>
      <c r="C127" s="100" t="s">
        <v>1139</v>
      </c>
      <c r="D127" s="84" t="s">
        <v>655</v>
      </c>
      <c r="E127" s="101" t="s">
        <v>1140</v>
      </c>
      <c r="F127" s="84" t="s">
        <v>1141</v>
      </c>
      <c r="G127" s="101" t="s">
        <v>1142</v>
      </c>
      <c r="H127" s="85" t="s">
        <v>1097</v>
      </c>
      <c r="I127" s="99" t="s">
        <v>1097</v>
      </c>
      <c r="J127" s="85" t="s">
        <v>299</v>
      </c>
    </row>
    <row r="128" spans="2:10" s="93" customFormat="1" ht="24" customHeight="1">
      <c r="B128" s="99">
        <v>608</v>
      </c>
      <c r="C128" s="100" t="s">
        <v>1143</v>
      </c>
      <c r="D128" s="84" t="s">
        <v>821</v>
      </c>
      <c r="E128" s="101" t="s">
        <v>1144</v>
      </c>
      <c r="F128" s="84" t="s">
        <v>1145</v>
      </c>
      <c r="G128" s="101" t="s">
        <v>1146</v>
      </c>
      <c r="H128" s="85" t="s">
        <v>1097</v>
      </c>
      <c r="I128" s="99" t="s">
        <v>1097</v>
      </c>
      <c r="J128" s="85" t="s">
        <v>299</v>
      </c>
    </row>
    <row r="129" spans="2:10" s="93" customFormat="1" ht="24" customHeight="1">
      <c r="B129" s="99">
        <v>2412</v>
      </c>
      <c r="C129" s="100" t="s">
        <v>1147</v>
      </c>
      <c r="D129" s="84" t="s">
        <v>650</v>
      </c>
      <c r="E129" s="101" t="s">
        <v>1120</v>
      </c>
      <c r="F129" s="84" t="s">
        <v>1121</v>
      </c>
      <c r="G129" s="101" t="s">
        <v>1122</v>
      </c>
      <c r="H129" s="85" t="s">
        <v>1097</v>
      </c>
      <c r="I129" s="99" t="s">
        <v>1097</v>
      </c>
      <c r="J129" s="85" t="s">
        <v>299</v>
      </c>
    </row>
    <row r="130" spans="2:10" s="93" customFormat="1" ht="24" customHeight="1">
      <c r="B130" s="99">
        <v>3128</v>
      </c>
      <c r="C130" s="100" t="s">
        <v>1148</v>
      </c>
      <c r="D130" s="84" t="s">
        <v>643</v>
      </c>
      <c r="E130" s="101" t="s">
        <v>1149</v>
      </c>
      <c r="F130" s="84" t="s">
        <v>1150</v>
      </c>
      <c r="G130" s="101" t="s">
        <v>1151</v>
      </c>
      <c r="H130" s="85" t="s">
        <v>1097</v>
      </c>
      <c r="I130" s="99" t="s">
        <v>1097</v>
      </c>
      <c r="J130" s="85" t="s">
        <v>299</v>
      </c>
    </row>
    <row r="131" spans="2:10" s="93" customFormat="1" ht="24" customHeight="1">
      <c r="B131" s="99">
        <v>2852</v>
      </c>
      <c r="C131" s="100" t="s">
        <v>1152</v>
      </c>
      <c r="D131" s="84" t="s">
        <v>672</v>
      </c>
      <c r="E131" s="101" t="s">
        <v>1153</v>
      </c>
      <c r="F131" s="84"/>
      <c r="G131" s="101" t="s">
        <v>1154</v>
      </c>
      <c r="H131" s="85" t="s">
        <v>1155</v>
      </c>
      <c r="I131" s="99" t="s">
        <v>1155</v>
      </c>
      <c r="J131" s="85" t="s">
        <v>299</v>
      </c>
    </row>
    <row r="132" spans="2:10" s="93" customFormat="1" ht="24" customHeight="1">
      <c r="B132" s="99">
        <v>2190</v>
      </c>
      <c r="C132" s="100" t="s">
        <v>1156</v>
      </c>
      <c r="D132" s="84" t="s">
        <v>643</v>
      </c>
      <c r="E132" s="101" t="s">
        <v>1157</v>
      </c>
      <c r="F132" s="84" t="s">
        <v>1158</v>
      </c>
      <c r="G132" s="101" t="s">
        <v>1159</v>
      </c>
      <c r="H132" s="85" t="s">
        <v>1155</v>
      </c>
      <c r="I132" s="99" t="s">
        <v>1155</v>
      </c>
      <c r="J132" s="85" t="s">
        <v>299</v>
      </c>
    </row>
    <row r="133" spans="2:10" s="93" customFormat="1" ht="24" customHeight="1">
      <c r="B133" s="99">
        <v>2997</v>
      </c>
      <c r="C133" s="100" t="s">
        <v>1160</v>
      </c>
      <c r="D133" s="84" t="s">
        <v>643</v>
      </c>
      <c r="E133" s="101" t="s">
        <v>1161</v>
      </c>
      <c r="F133" s="84" t="s">
        <v>1162</v>
      </c>
      <c r="G133" s="101" t="s">
        <v>1163</v>
      </c>
      <c r="H133" s="85" t="s">
        <v>1155</v>
      </c>
      <c r="I133" s="99" t="s">
        <v>1155</v>
      </c>
      <c r="J133" s="85" t="s">
        <v>299</v>
      </c>
    </row>
    <row r="134" spans="2:10" s="93" customFormat="1" ht="24" customHeight="1">
      <c r="B134" s="99">
        <v>2049</v>
      </c>
      <c r="C134" s="100" t="s">
        <v>1164</v>
      </c>
      <c r="D134" s="84" t="s">
        <v>643</v>
      </c>
      <c r="E134" s="101" t="s">
        <v>1165</v>
      </c>
      <c r="F134" s="84" t="s">
        <v>1166</v>
      </c>
      <c r="G134" s="101" t="s">
        <v>1167</v>
      </c>
      <c r="H134" s="85" t="s">
        <v>1155</v>
      </c>
      <c r="I134" s="99" t="s">
        <v>1155</v>
      </c>
      <c r="J134" s="85" t="s">
        <v>299</v>
      </c>
    </row>
    <row r="135" spans="2:10" s="93" customFormat="1" ht="24" customHeight="1">
      <c r="B135" s="99">
        <v>3384</v>
      </c>
      <c r="C135" s="100" t="s">
        <v>1168</v>
      </c>
      <c r="D135" s="84" t="s">
        <v>672</v>
      </c>
      <c r="E135" s="101" t="s">
        <v>1169</v>
      </c>
      <c r="F135" s="84"/>
      <c r="G135" s="101" t="s">
        <v>1170</v>
      </c>
      <c r="H135" s="85" t="s">
        <v>1155</v>
      </c>
      <c r="I135" s="99" t="s">
        <v>1155</v>
      </c>
      <c r="J135" s="85" t="s">
        <v>299</v>
      </c>
    </row>
    <row r="136" spans="2:10" s="93" customFormat="1" ht="24" customHeight="1">
      <c r="B136" s="103">
        <v>4049</v>
      </c>
      <c r="C136" s="104" t="s">
        <v>1171</v>
      </c>
      <c r="D136" s="84" t="s">
        <v>643</v>
      </c>
      <c r="E136" s="106" t="s">
        <v>1172</v>
      </c>
      <c r="F136" s="107"/>
      <c r="G136" s="106" t="s">
        <v>1173</v>
      </c>
      <c r="H136" s="108" t="s">
        <v>1155</v>
      </c>
      <c r="I136" s="109" t="s">
        <v>1155</v>
      </c>
      <c r="J136" s="108" t="s">
        <v>299</v>
      </c>
    </row>
    <row r="137" spans="2:10" s="93" customFormat="1" ht="24" customHeight="1">
      <c r="B137" s="103">
        <v>4053</v>
      </c>
      <c r="C137" s="104" t="s">
        <v>1174</v>
      </c>
      <c r="D137" s="84" t="s">
        <v>655</v>
      </c>
      <c r="E137" s="106" t="s">
        <v>1175</v>
      </c>
      <c r="F137" s="107"/>
      <c r="G137" s="106" t="s">
        <v>1176</v>
      </c>
      <c r="H137" s="108" t="s">
        <v>1155</v>
      </c>
      <c r="I137" s="109" t="s">
        <v>1155</v>
      </c>
      <c r="J137" s="108" t="s">
        <v>299</v>
      </c>
    </row>
    <row r="138" spans="2:10" s="93" customFormat="1" ht="24" customHeight="1">
      <c r="B138" s="103">
        <v>4102</v>
      </c>
      <c r="C138" s="104" t="s">
        <v>1177</v>
      </c>
      <c r="D138" s="84" t="s">
        <v>655</v>
      </c>
      <c r="E138" s="106" t="s">
        <v>1178</v>
      </c>
      <c r="F138" s="107"/>
      <c r="G138" s="106" t="s">
        <v>1179</v>
      </c>
      <c r="H138" s="108" t="s">
        <v>1155</v>
      </c>
      <c r="I138" s="109" t="s">
        <v>1155</v>
      </c>
      <c r="J138" s="108" t="s">
        <v>299</v>
      </c>
    </row>
    <row r="139" spans="2:10" s="93" customFormat="1" ht="24" customHeight="1">
      <c r="B139" s="103">
        <v>4127</v>
      </c>
      <c r="C139" s="104" t="s">
        <v>1180</v>
      </c>
      <c r="D139" s="84" t="s">
        <v>643</v>
      </c>
      <c r="E139" s="106" t="s">
        <v>1175</v>
      </c>
      <c r="F139" s="107"/>
      <c r="G139" s="106" t="s">
        <v>1181</v>
      </c>
      <c r="H139" s="108" t="s">
        <v>1155</v>
      </c>
      <c r="I139" s="109" t="s">
        <v>1155</v>
      </c>
      <c r="J139" s="108" t="s">
        <v>299</v>
      </c>
    </row>
    <row r="140" spans="2:10" s="93" customFormat="1" ht="24" customHeight="1">
      <c r="B140" s="99">
        <v>4558</v>
      </c>
      <c r="C140" s="100" t="s">
        <v>1182</v>
      </c>
      <c r="D140" s="84" t="s">
        <v>655</v>
      </c>
      <c r="E140" s="101" t="s">
        <v>1183</v>
      </c>
      <c r="F140" s="84" t="s">
        <v>1184</v>
      </c>
      <c r="G140" s="101" t="s">
        <v>1185</v>
      </c>
      <c r="H140" s="85" t="s">
        <v>1155</v>
      </c>
      <c r="I140" s="99" t="s">
        <v>1155</v>
      </c>
      <c r="J140" s="85" t="s">
        <v>299</v>
      </c>
    </row>
    <row r="141" spans="2:10" s="93" customFormat="1" ht="24" customHeight="1">
      <c r="B141" s="99">
        <v>4562</v>
      </c>
      <c r="C141" s="100" t="s">
        <v>1186</v>
      </c>
      <c r="D141" s="84" t="s">
        <v>643</v>
      </c>
      <c r="E141" s="101" t="s">
        <v>1187</v>
      </c>
      <c r="F141" s="84" t="s">
        <v>1188</v>
      </c>
      <c r="G141" s="101" t="s">
        <v>1189</v>
      </c>
      <c r="H141" s="85" t="s">
        <v>1155</v>
      </c>
      <c r="I141" s="99" t="s">
        <v>1155</v>
      </c>
      <c r="J141" s="85" t="s">
        <v>299</v>
      </c>
    </row>
    <row r="142" spans="2:10" s="93" customFormat="1" ht="24" customHeight="1">
      <c r="B142" s="103">
        <v>4102</v>
      </c>
      <c r="C142" s="104" t="s">
        <v>1190</v>
      </c>
      <c r="D142" s="84" t="s">
        <v>643</v>
      </c>
      <c r="E142" s="106" t="s">
        <v>1178</v>
      </c>
      <c r="F142" s="107"/>
      <c r="G142" s="106" t="s">
        <v>1179</v>
      </c>
      <c r="H142" s="108" t="s">
        <v>1155</v>
      </c>
      <c r="I142" s="109" t="s">
        <v>1155</v>
      </c>
      <c r="J142" s="108" t="s">
        <v>299</v>
      </c>
    </row>
    <row r="143" spans="2:10" s="93" customFormat="1" ht="24" customHeight="1">
      <c r="B143" s="115">
        <v>5325</v>
      </c>
      <c r="C143" s="116" t="s">
        <v>1191</v>
      </c>
      <c r="D143" s="84" t="s">
        <v>643</v>
      </c>
      <c r="E143" s="101" t="s">
        <v>1192</v>
      </c>
      <c r="F143" s="84" t="s">
        <v>1193</v>
      </c>
      <c r="G143" s="117" t="s">
        <v>1194</v>
      </c>
      <c r="H143" s="118" t="s">
        <v>1155</v>
      </c>
      <c r="I143" s="115" t="s">
        <v>1155</v>
      </c>
      <c r="J143" s="118" t="s">
        <v>299</v>
      </c>
    </row>
    <row r="144" spans="2:10" s="93" customFormat="1" ht="24" customHeight="1">
      <c r="B144" s="99">
        <v>4768</v>
      </c>
      <c r="C144" s="100" t="s">
        <v>1195</v>
      </c>
      <c r="D144" s="84" t="s">
        <v>672</v>
      </c>
      <c r="E144" s="101" t="s">
        <v>1196</v>
      </c>
      <c r="F144" s="84" t="s">
        <v>1197</v>
      </c>
      <c r="G144" s="101" t="s">
        <v>1198</v>
      </c>
      <c r="H144" s="85" t="s">
        <v>1155</v>
      </c>
      <c r="I144" s="99" t="s">
        <v>1155</v>
      </c>
      <c r="J144" s="85" t="s">
        <v>299</v>
      </c>
    </row>
    <row r="145" spans="2:10" s="93" customFormat="1" ht="24" customHeight="1">
      <c r="B145" s="99">
        <v>4632</v>
      </c>
      <c r="C145" s="100" t="s">
        <v>1199</v>
      </c>
      <c r="D145" s="84" t="s">
        <v>643</v>
      </c>
      <c r="E145" s="101" t="s">
        <v>1200</v>
      </c>
      <c r="F145" s="84" t="s">
        <v>1201</v>
      </c>
      <c r="G145" s="101" t="s">
        <v>1202</v>
      </c>
      <c r="H145" s="85" t="s">
        <v>1155</v>
      </c>
      <c r="I145" s="99" t="s">
        <v>1155</v>
      </c>
      <c r="J145" s="85" t="s">
        <v>299</v>
      </c>
    </row>
    <row r="146" spans="2:10" s="93" customFormat="1" ht="24" customHeight="1">
      <c r="B146" s="99">
        <v>5132</v>
      </c>
      <c r="C146" s="100" t="s">
        <v>1203</v>
      </c>
      <c r="D146" s="84" t="s">
        <v>650</v>
      </c>
      <c r="E146" s="101" t="s">
        <v>1204</v>
      </c>
      <c r="F146" s="84" t="s">
        <v>1205</v>
      </c>
      <c r="G146" s="101" t="s">
        <v>1206</v>
      </c>
      <c r="H146" s="85" t="s">
        <v>1155</v>
      </c>
      <c r="I146" s="99" t="s">
        <v>1155</v>
      </c>
      <c r="J146" s="85" t="s">
        <v>299</v>
      </c>
    </row>
    <row r="147" spans="2:10" s="93" customFormat="1" ht="24" customHeight="1">
      <c r="B147" s="99">
        <v>4551</v>
      </c>
      <c r="C147" s="100" t="s">
        <v>1207</v>
      </c>
      <c r="D147" s="84" t="s">
        <v>672</v>
      </c>
      <c r="E147" s="101" t="s">
        <v>1208</v>
      </c>
      <c r="F147" s="84" t="s">
        <v>1209</v>
      </c>
      <c r="G147" s="101" t="s">
        <v>1210</v>
      </c>
      <c r="H147" s="85" t="s">
        <v>1155</v>
      </c>
      <c r="I147" s="99" t="s">
        <v>1155</v>
      </c>
      <c r="J147" s="85" t="s">
        <v>299</v>
      </c>
    </row>
    <row r="148" spans="2:10" s="93" customFormat="1" ht="24" customHeight="1">
      <c r="B148" s="99">
        <v>5327</v>
      </c>
      <c r="C148" s="100" t="s">
        <v>1211</v>
      </c>
      <c r="D148" s="84" t="s">
        <v>643</v>
      </c>
      <c r="E148" s="101" t="s">
        <v>1212</v>
      </c>
      <c r="F148" s="84" t="s">
        <v>1213</v>
      </c>
      <c r="G148" s="101" t="s">
        <v>1214</v>
      </c>
      <c r="H148" s="85" t="s">
        <v>1155</v>
      </c>
      <c r="I148" s="99" t="s">
        <v>1155</v>
      </c>
      <c r="J148" s="85" t="s">
        <v>299</v>
      </c>
    </row>
    <row r="149" spans="2:10" s="93" customFormat="1" ht="24" customHeight="1">
      <c r="B149" s="99">
        <v>5737</v>
      </c>
      <c r="C149" s="100" t="s">
        <v>1215</v>
      </c>
      <c r="D149" s="111" t="s">
        <v>1216</v>
      </c>
      <c r="E149" s="101" t="s">
        <v>1217</v>
      </c>
      <c r="F149" s="111" t="s">
        <v>1218</v>
      </c>
      <c r="G149" s="101" t="s">
        <v>1219</v>
      </c>
      <c r="H149" s="112" t="s">
        <v>1155</v>
      </c>
      <c r="I149" s="99" t="s">
        <v>1155</v>
      </c>
      <c r="J149" s="112" t="s">
        <v>299</v>
      </c>
    </row>
    <row r="150" spans="2:10" s="93" customFormat="1" ht="24" customHeight="1">
      <c r="B150" s="99">
        <v>494</v>
      </c>
      <c r="C150" s="100" t="s">
        <v>1220</v>
      </c>
      <c r="D150" s="84" t="s">
        <v>821</v>
      </c>
      <c r="E150" s="101" t="s">
        <v>1221</v>
      </c>
      <c r="F150" s="84" t="s">
        <v>1222</v>
      </c>
      <c r="G150" s="101" t="s">
        <v>1223</v>
      </c>
      <c r="H150" s="85" t="s">
        <v>1224</v>
      </c>
      <c r="I150" s="99" t="s">
        <v>1224</v>
      </c>
      <c r="J150" s="85" t="s">
        <v>1225</v>
      </c>
    </row>
    <row r="151" spans="2:10" s="93" customFormat="1" ht="24" customHeight="1">
      <c r="B151" s="99">
        <v>3396</v>
      </c>
      <c r="C151" s="100" t="s">
        <v>1226</v>
      </c>
      <c r="D151" s="84" t="s">
        <v>643</v>
      </c>
      <c r="E151" s="101" t="s">
        <v>1227</v>
      </c>
      <c r="F151" s="84"/>
      <c r="G151" s="101" t="s">
        <v>1228</v>
      </c>
      <c r="H151" s="85" t="s">
        <v>1224</v>
      </c>
      <c r="I151" s="99" t="s">
        <v>1224</v>
      </c>
      <c r="J151" s="85" t="s">
        <v>1225</v>
      </c>
    </row>
    <row r="152" spans="2:10" s="93" customFormat="1" ht="24" customHeight="1">
      <c r="B152" s="99">
        <v>3133</v>
      </c>
      <c r="C152" s="100" t="s">
        <v>1229</v>
      </c>
      <c r="D152" s="105" t="s">
        <v>764</v>
      </c>
      <c r="E152" s="101" t="s">
        <v>1230</v>
      </c>
      <c r="F152" s="84" t="s">
        <v>1231</v>
      </c>
      <c r="G152" s="101" t="s">
        <v>1232</v>
      </c>
      <c r="H152" s="85" t="s">
        <v>1233</v>
      </c>
      <c r="I152" s="99" t="s">
        <v>1233</v>
      </c>
      <c r="J152" s="85" t="s">
        <v>1225</v>
      </c>
    </row>
    <row r="153" spans="2:10" s="93" customFormat="1" ht="24" customHeight="1">
      <c r="B153" s="99">
        <v>2394</v>
      </c>
      <c r="C153" s="100" t="s">
        <v>1234</v>
      </c>
      <c r="D153" s="84" t="s">
        <v>682</v>
      </c>
      <c r="E153" s="101" t="s">
        <v>1235</v>
      </c>
      <c r="F153" s="84" t="s">
        <v>1236</v>
      </c>
      <c r="G153" s="101" t="s">
        <v>1237</v>
      </c>
      <c r="H153" s="85" t="s">
        <v>1238</v>
      </c>
      <c r="I153" s="99" t="s">
        <v>1239</v>
      </c>
      <c r="J153" s="85" t="s">
        <v>1225</v>
      </c>
    </row>
    <row r="154" spans="2:10" s="93" customFormat="1" ht="24" customHeight="1">
      <c r="B154" s="99">
        <v>4588</v>
      </c>
      <c r="C154" s="100" t="s">
        <v>1240</v>
      </c>
      <c r="D154" s="84" t="s">
        <v>643</v>
      </c>
      <c r="E154" s="101" t="s">
        <v>1241</v>
      </c>
      <c r="F154" s="84" t="s">
        <v>1242</v>
      </c>
      <c r="G154" s="101" t="s">
        <v>1243</v>
      </c>
      <c r="H154" s="85" t="s">
        <v>1244</v>
      </c>
      <c r="I154" s="99" t="s">
        <v>1245</v>
      </c>
      <c r="J154" s="85" t="s">
        <v>1246</v>
      </c>
    </row>
    <row r="155" spans="2:10" s="93" customFormat="1" ht="24" customHeight="1">
      <c r="B155" s="99">
        <v>5330</v>
      </c>
      <c r="C155" s="100" t="s">
        <v>1247</v>
      </c>
      <c r="D155" s="84" t="s">
        <v>668</v>
      </c>
      <c r="E155" s="101" t="s">
        <v>1248</v>
      </c>
      <c r="F155" s="84" t="s">
        <v>1249</v>
      </c>
      <c r="G155" s="101" t="s">
        <v>1250</v>
      </c>
      <c r="H155" s="85" t="s">
        <v>1251</v>
      </c>
      <c r="I155" s="99" t="s">
        <v>1251</v>
      </c>
      <c r="J155" s="85" t="s">
        <v>1246</v>
      </c>
    </row>
    <row r="156" spans="2:10" s="93" customFormat="1" ht="24" customHeight="1">
      <c r="B156" s="99">
        <v>2654</v>
      </c>
      <c r="C156" s="100" t="s">
        <v>1252</v>
      </c>
      <c r="D156" s="84" t="s">
        <v>655</v>
      </c>
      <c r="E156" s="101" t="s">
        <v>1253</v>
      </c>
      <c r="F156" s="84"/>
      <c r="G156" s="101" t="s">
        <v>1254</v>
      </c>
      <c r="H156" s="85" t="s">
        <v>1097</v>
      </c>
      <c r="I156" s="99" t="s">
        <v>1097</v>
      </c>
      <c r="J156" s="85" t="s">
        <v>307</v>
      </c>
    </row>
    <row r="157" spans="2:10" s="93" customFormat="1" ht="24" customHeight="1">
      <c r="B157" s="99">
        <v>5326</v>
      </c>
      <c r="C157" s="100" t="s">
        <v>1255</v>
      </c>
      <c r="D157" s="84" t="s">
        <v>659</v>
      </c>
      <c r="E157" s="101" t="s">
        <v>1256</v>
      </c>
      <c r="F157" s="84" t="s">
        <v>1257</v>
      </c>
      <c r="G157" s="101" t="s">
        <v>1258</v>
      </c>
      <c r="H157" s="85" t="s">
        <v>1259</v>
      </c>
      <c r="I157" s="99" t="s">
        <v>1259</v>
      </c>
      <c r="J157" s="85" t="s">
        <v>309</v>
      </c>
    </row>
    <row r="158" spans="2:10" s="93" customFormat="1" ht="24" customHeight="1">
      <c r="B158" s="99">
        <v>2003</v>
      </c>
      <c r="C158" s="100" t="s">
        <v>1260</v>
      </c>
      <c r="D158" s="84" t="s">
        <v>1261</v>
      </c>
      <c r="E158" s="101" t="s">
        <v>1262</v>
      </c>
      <c r="F158" s="84" t="s">
        <v>1263</v>
      </c>
      <c r="G158" s="101" t="s">
        <v>1264</v>
      </c>
      <c r="H158" s="85" t="s">
        <v>1265</v>
      </c>
      <c r="I158" s="99" t="s">
        <v>1265</v>
      </c>
      <c r="J158" s="85" t="s">
        <v>309</v>
      </c>
    </row>
    <row r="159" spans="2:10" s="93" customFormat="1" ht="24" customHeight="1">
      <c r="B159" s="99">
        <v>2238</v>
      </c>
      <c r="C159" s="100" t="s">
        <v>1266</v>
      </c>
      <c r="D159" s="84" t="s">
        <v>650</v>
      </c>
      <c r="E159" s="101" t="s">
        <v>1267</v>
      </c>
      <c r="F159" s="84" t="s">
        <v>1268</v>
      </c>
      <c r="G159" s="69" t="s">
        <v>1269</v>
      </c>
      <c r="H159" s="85" t="s">
        <v>1265</v>
      </c>
      <c r="I159" s="99" t="s">
        <v>1265</v>
      </c>
      <c r="J159" s="85" t="s">
        <v>309</v>
      </c>
    </row>
    <row r="160" spans="2:10" s="93" customFormat="1" ht="24" customHeight="1">
      <c r="B160" s="99">
        <v>3057</v>
      </c>
      <c r="C160" s="100" t="s">
        <v>1270</v>
      </c>
      <c r="D160" s="84" t="s">
        <v>643</v>
      </c>
      <c r="E160" s="101" t="s">
        <v>1271</v>
      </c>
      <c r="F160" s="84" t="s">
        <v>1272</v>
      </c>
      <c r="G160" s="101" t="s">
        <v>1273</v>
      </c>
      <c r="H160" s="85" t="s">
        <v>1265</v>
      </c>
      <c r="I160" s="99" t="s">
        <v>1265</v>
      </c>
      <c r="J160" s="85" t="s">
        <v>309</v>
      </c>
    </row>
    <row r="161" spans="2:10" s="93" customFormat="1" ht="24" customHeight="1">
      <c r="B161" s="99">
        <v>2070</v>
      </c>
      <c r="C161" s="100" t="s">
        <v>1274</v>
      </c>
      <c r="D161" s="84" t="s">
        <v>655</v>
      </c>
      <c r="E161" s="101" t="s">
        <v>1275</v>
      </c>
      <c r="F161" s="84" t="s">
        <v>1276</v>
      </c>
      <c r="G161" s="101" t="s">
        <v>1277</v>
      </c>
      <c r="H161" s="85" t="s">
        <v>1265</v>
      </c>
      <c r="I161" s="99" t="s">
        <v>1265</v>
      </c>
      <c r="J161" s="85" t="s">
        <v>309</v>
      </c>
    </row>
    <row r="162" spans="2:10" s="93" customFormat="1" ht="24" customHeight="1">
      <c r="B162" s="99">
        <v>2149</v>
      </c>
      <c r="C162" s="100" t="s">
        <v>1278</v>
      </c>
      <c r="D162" s="84" t="s">
        <v>643</v>
      </c>
      <c r="E162" s="101" t="s">
        <v>1279</v>
      </c>
      <c r="F162" s="84" t="s">
        <v>1280</v>
      </c>
      <c r="G162" s="101" t="s">
        <v>1281</v>
      </c>
      <c r="H162" s="85" t="s">
        <v>1265</v>
      </c>
      <c r="I162" s="99" t="s">
        <v>1265</v>
      </c>
      <c r="J162" s="85" t="s">
        <v>309</v>
      </c>
    </row>
    <row r="163" spans="2:10" s="93" customFormat="1" ht="24" customHeight="1">
      <c r="B163" s="99">
        <v>2074</v>
      </c>
      <c r="C163" s="100" t="s">
        <v>1282</v>
      </c>
      <c r="D163" s="84" t="s">
        <v>643</v>
      </c>
      <c r="E163" s="101" t="s">
        <v>1283</v>
      </c>
      <c r="F163" s="84" t="s">
        <v>1284</v>
      </c>
      <c r="G163" s="101" t="s">
        <v>1285</v>
      </c>
      <c r="H163" s="85" t="s">
        <v>1265</v>
      </c>
      <c r="I163" s="99" t="s">
        <v>1265</v>
      </c>
      <c r="J163" s="85" t="s">
        <v>309</v>
      </c>
    </row>
    <row r="164" spans="2:10" s="93" customFormat="1" ht="24" customHeight="1">
      <c r="B164" s="99">
        <v>2198</v>
      </c>
      <c r="C164" s="100" t="s">
        <v>1286</v>
      </c>
      <c r="D164" s="84" t="s">
        <v>643</v>
      </c>
      <c r="E164" s="101" t="s">
        <v>1287</v>
      </c>
      <c r="F164" s="84" t="s">
        <v>1288</v>
      </c>
      <c r="G164" s="101" t="s">
        <v>1289</v>
      </c>
      <c r="H164" s="85" t="s">
        <v>1265</v>
      </c>
      <c r="I164" s="99" t="s">
        <v>1265</v>
      </c>
      <c r="J164" s="85" t="s">
        <v>309</v>
      </c>
    </row>
    <row r="165" spans="2:10" s="93" customFormat="1" ht="24" customHeight="1">
      <c r="B165" s="103">
        <v>4128</v>
      </c>
      <c r="C165" s="104" t="s">
        <v>1290</v>
      </c>
      <c r="D165" s="84" t="s">
        <v>655</v>
      </c>
      <c r="E165" s="106" t="s">
        <v>1291</v>
      </c>
      <c r="F165" s="107"/>
      <c r="G165" s="106" t="s">
        <v>1292</v>
      </c>
      <c r="H165" s="108" t="s">
        <v>1265</v>
      </c>
      <c r="I165" s="109" t="s">
        <v>1265</v>
      </c>
      <c r="J165" s="108" t="s">
        <v>309</v>
      </c>
    </row>
    <row r="166" spans="2:10" s="93" customFormat="1" ht="24" customHeight="1">
      <c r="B166" s="99">
        <v>4556</v>
      </c>
      <c r="C166" s="100" t="s">
        <v>1293</v>
      </c>
      <c r="D166" s="84" t="s">
        <v>773</v>
      </c>
      <c r="E166" s="101" t="s">
        <v>1294</v>
      </c>
      <c r="F166" s="84" t="s">
        <v>1295</v>
      </c>
      <c r="G166" s="101" t="s">
        <v>1296</v>
      </c>
      <c r="H166" s="85" t="s">
        <v>1265</v>
      </c>
      <c r="I166" s="99" t="s">
        <v>1265</v>
      </c>
      <c r="J166" s="85" t="s">
        <v>309</v>
      </c>
    </row>
    <row r="167" spans="2:10" s="93" customFormat="1" ht="24" customHeight="1">
      <c r="B167" s="115">
        <v>5321</v>
      </c>
      <c r="C167" s="116" t="s">
        <v>1297</v>
      </c>
      <c r="D167" s="84" t="s">
        <v>655</v>
      </c>
      <c r="E167" s="101" t="s">
        <v>1298</v>
      </c>
      <c r="F167" s="84" t="s">
        <v>1299</v>
      </c>
      <c r="G167" s="117" t="s">
        <v>1300</v>
      </c>
      <c r="H167" s="118" t="s">
        <v>1265</v>
      </c>
      <c r="I167" s="115" t="s">
        <v>1265</v>
      </c>
      <c r="J167" s="118" t="s">
        <v>309</v>
      </c>
    </row>
    <row r="168" spans="2:10" s="93" customFormat="1" ht="24" customHeight="1">
      <c r="B168" s="99">
        <v>5869</v>
      </c>
      <c r="C168" s="100" t="s">
        <v>1301</v>
      </c>
      <c r="D168" s="111" t="s">
        <v>682</v>
      </c>
      <c r="E168" s="101" t="s">
        <v>1302</v>
      </c>
      <c r="F168" s="111" t="s">
        <v>1303</v>
      </c>
      <c r="G168" s="101" t="s">
        <v>1304</v>
      </c>
      <c r="H168" s="85" t="s">
        <v>1265</v>
      </c>
      <c r="I168" s="99" t="s">
        <v>1265</v>
      </c>
      <c r="J168" s="112" t="s">
        <v>309</v>
      </c>
    </row>
    <row r="169" spans="2:10" s="93" customFormat="1" ht="24" customHeight="1">
      <c r="B169" s="99">
        <v>5733</v>
      </c>
      <c r="C169" s="100" t="s">
        <v>1305</v>
      </c>
      <c r="D169" s="111" t="s">
        <v>1261</v>
      </c>
      <c r="E169" s="101" t="s">
        <v>1306</v>
      </c>
      <c r="F169" s="111" t="s">
        <v>1307</v>
      </c>
      <c r="G169" s="101" t="s">
        <v>1308</v>
      </c>
      <c r="H169" s="112" t="s">
        <v>1265</v>
      </c>
      <c r="I169" s="99" t="s">
        <v>1309</v>
      </c>
      <c r="J169" s="112" t="s">
        <v>309</v>
      </c>
    </row>
    <row r="170" spans="2:10" s="93" customFormat="1" ht="24" customHeight="1">
      <c r="B170" s="99">
        <v>2108</v>
      </c>
      <c r="C170" s="100" t="s">
        <v>1310</v>
      </c>
      <c r="D170" s="84" t="s">
        <v>1216</v>
      </c>
      <c r="E170" s="101" t="s">
        <v>1311</v>
      </c>
      <c r="F170" s="84" t="s">
        <v>1312</v>
      </c>
      <c r="G170" s="101" t="s">
        <v>1313</v>
      </c>
      <c r="H170" s="85" t="s">
        <v>1314</v>
      </c>
      <c r="I170" s="99" t="s">
        <v>1315</v>
      </c>
      <c r="J170" s="85" t="s">
        <v>309</v>
      </c>
    </row>
    <row r="171" spans="2:10" s="93" customFormat="1" ht="24" customHeight="1">
      <c r="B171" s="99">
        <v>2240</v>
      </c>
      <c r="C171" s="100" t="s">
        <v>1316</v>
      </c>
      <c r="D171" s="84" t="s">
        <v>1317</v>
      </c>
      <c r="E171" s="101" t="s">
        <v>1318</v>
      </c>
      <c r="F171" s="84"/>
      <c r="G171" s="101" t="s">
        <v>1319</v>
      </c>
      <c r="H171" s="85" t="s">
        <v>1315</v>
      </c>
      <c r="I171" s="99" t="s">
        <v>1315</v>
      </c>
      <c r="J171" s="85" t="s">
        <v>309</v>
      </c>
    </row>
    <row r="172" spans="2:10" s="93" customFormat="1" ht="24" customHeight="1">
      <c r="B172" s="99">
        <v>2240</v>
      </c>
      <c r="C172" s="100" t="s">
        <v>1320</v>
      </c>
      <c r="D172" s="84" t="s">
        <v>643</v>
      </c>
      <c r="E172" s="101" t="s">
        <v>1318</v>
      </c>
      <c r="F172" s="84"/>
      <c r="G172" s="101" t="s">
        <v>1319</v>
      </c>
      <c r="H172" s="85" t="s">
        <v>1315</v>
      </c>
      <c r="I172" s="99" t="s">
        <v>1315</v>
      </c>
      <c r="J172" s="85" t="s">
        <v>309</v>
      </c>
    </row>
    <row r="173" spans="2:10" s="93" customFormat="1" ht="24" customHeight="1">
      <c r="B173" s="99">
        <v>3005</v>
      </c>
      <c r="C173" s="100" t="s">
        <v>1321</v>
      </c>
      <c r="D173" s="84" t="s">
        <v>668</v>
      </c>
      <c r="E173" s="101" t="s">
        <v>1322</v>
      </c>
      <c r="F173" s="84" t="s">
        <v>1323</v>
      </c>
      <c r="G173" s="101" t="s">
        <v>1324</v>
      </c>
      <c r="H173" s="85" t="s">
        <v>1315</v>
      </c>
      <c r="I173" s="99" t="s">
        <v>1315</v>
      </c>
      <c r="J173" s="85" t="s">
        <v>309</v>
      </c>
    </row>
    <row r="174" spans="2:10" s="93" customFormat="1" ht="24" customHeight="1">
      <c r="B174" s="99">
        <v>2409</v>
      </c>
      <c r="C174" s="100" t="s">
        <v>1325</v>
      </c>
      <c r="D174" s="84" t="s">
        <v>643</v>
      </c>
      <c r="E174" s="101" t="s">
        <v>1326</v>
      </c>
      <c r="F174" s="84" t="s">
        <v>1327</v>
      </c>
      <c r="G174" s="101" t="s">
        <v>1328</v>
      </c>
      <c r="H174" s="85" t="s">
        <v>1315</v>
      </c>
      <c r="I174" s="99" t="s">
        <v>1315</v>
      </c>
      <c r="J174" s="85" t="s">
        <v>309</v>
      </c>
    </row>
    <row r="175" spans="2:10" s="93" customFormat="1" ht="24" customHeight="1">
      <c r="B175" s="99">
        <v>2069</v>
      </c>
      <c r="C175" s="100" t="s">
        <v>1329</v>
      </c>
      <c r="D175" s="84" t="s">
        <v>655</v>
      </c>
      <c r="E175" s="101" t="s">
        <v>1330</v>
      </c>
      <c r="F175" s="84" t="s">
        <v>1331</v>
      </c>
      <c r="G175" s="101" t="s">
        <v>1332</v>
      </c>
      <c r="H175" s="85" t="s">
        <v>1315</v>
      </c>
      <c r="I175" s="99" t="s">
        <v>1315</v>
      </c>
      <c r="J175" s="85" t="s">
        <v>309</v>
      </c>
    </row>
    <row r="176" spans="2:10" s="93" customFormat="1" ht="24" customHeight="1">
      <c r="B176" s="99">
        <v>2865</v>
      </c>
      <c r="C176" s="100" t="s">
        <v>1333</v>
      </c>
      <c r="D176" s="84" t="s">
        <v>643</v>
      </c>
      <c r="E176" s="101" t="s">
        <v>1334</v>
      </c>
      <c r="F176" s="84"/>
      <c r="G176" s="101" t="s">
        <v>1335</v>
      </c>
      <c r="H176" s="85" t="s">
        <v>1315</v>
      </c>
      <c r="I176" s="99" t="s">
        <v>1315</v>
      </c>
      <c r="J176" s="85" t="s">
        <v>309</v>
      </c>
    </row>
    <row r="177" spans="2:10" s="93" customFormat="1" ht="24" customHeight="1">
      <c r="B177" s="99">
        <v>2128</v>
      </c>
      <c r="C177" s="100" t="s">
        <v>1336</v>
      </c>
      <c r="D177" s="84" t="s">
        <v>672</v>
      </c>
      <c r="E177" s="101" t="s">
        <v>1337</v>
      </c>
      <c r="F177" s="84"/>
      <c r="G177" s="101" t="s">
        <v>1338</v>
      </c>
      <c r="H177" s="85" t="s">
        <v>1315</v>
      </c>
      <c r="I177" s="99" t="s">
        <v>1315</v>
      </c>
      <c r="J177" s="85" t="s">
        <v>309</v>
      </c>
    </row>
    <row r="178" spans="2:10" s="93" customFormat="1" ht="24" customHeight="1">
      <c r="B178" s="99">
        <v>2177</v>
      </c>
      <c r="C178" s="100" t="s">
        <v>1339</v>
      </c>
      <c r="D178" s="84" t="s">
        <v>744</v>
      </c>
      <c r="E178" s="101" t="s">
        <v>1340</v>
      </c>
      <c r="F178" s="84" t="s">
        <v>1341</v>
      </c>
      <c r="G178" s="101" t="s">
        <v>1342</v>
      </c>
      <c r="H178" s="85" t="s">
        <v>1315</v>
      </c>
      <c r="I178" s="99" t="s">
        <v>1315</v>
      </c>
      <c r="J178" s="85" t="s">
        <v>309</v>
      </c>
    </row>
    <row r="179" spans="2:10" s="93" customFormat="1" ht="24" customHeight="1">
      <c r="B179" s="99">
        <v>2116</v>
      </c>
      <c r="C179" s="100" t="s">
        <v>1343</v>
      </c>
      <c r="D179" s="84" t="s">
        <v>713</v>
      </c>
      <c r="E179" s="101" t="s">
        <v>1344</v>
      </c>
      <c r="F179" s="84" t="s">
        <v>1345</v>
      </c>
      <c r="G179" s="101" t="s">
        <v>1346</v>
      </c>
      <c r="H179" s="85" t="s">
        <v>1315</v>
      </c>
      <c r="I179" s="99" t="s">
        <v>1315</v>
      </c>
      <c r="J179" s="85" t="s">
        <v>309</v>
      </c>
    </row>
    <row r="180" spans="2:10" s="93" customFormat="1" ht="24" customHeight="1">
      <c r="B180" s="99">
        <v>2781</v>
      </c>
      <c r="C180" s="100" t="s">
        <v>1347</v>
      </c>
      <c r="D180" s="84" t="s">
        <v>672</v>
      </c>
      <c r="E180" s="101" t="s">
        <v>1348</v>
      </c>
      <c r="F180" s="84" t="s">
        <v>1349</v>
      </c>
      <c r="G180" s="101" t="s">
        <v>1350</v>
      </c>
      <c r="H180" s="85" t="s">
        <v>1315</v>
      </c>
      <c r="I180" s="99" t="s">
        <v>1315</v>
      </c>
      <c r="J180" s="85" t="s">
        <v>309</v>
      </c>
    </row>
    <row r="181" spans="2:10" s="93" customFormat="1" ht="24" customHeight="1">
      <c r="B181" s="99">
        <v>2181</v>
      </c>
      <c r="C181" s="100" t="s">
        <v>1351</v>
      </c>
      <c r="D181" s="84" t="s">
        <v>650</v>
      </c>
      <c r="E181" s="101" t="s">
        <v>1352</v>
      </c>
      <c r="F181" s="84" t="s">
        <v>1353</v>
      </c>
      <c r="G181" s="101" t="s">
        <v>1354</v>
      </c>
      <c r="H181" s="85" t="s">
        <v>1315</v>
      </c>
      <c r="I181" s="99" t="s">
        <v>1315</v>
      </c>
      <c r="J181" s="85" t="s">
        <v>309</v>
      </c>
    </row>
    <row r="182" spans="2:10" s="93" customFormat="1" ht="24" customHeight="1">
      <c r="B182" s="99">
        <v>3002</v>
      </c>
      <c r="C182" s="100" t="s">
        <v>1355</v>
      </c>
      <c r="D182" s="84" t="s">
        <v>643</v>
      </c>
      <c r="E182" s="101" t="s">
        <v>1356</v>
      </c>
      <c r="F182" s="84"/>
      <c r="G182" s="101" t="s">
        <v>1357</v>
      </c>
      <c r="H182" s="85" t="s">
        <v>1315</v>
      </c>
      <c r="I182" s="99" t="s">
        <v>1315</v>
      </c>
      <c r="J182" s="85" t="s">
        <v>309</v>
      </c>
    </row>
    <row r="183" spans="2:10" s="93" customFormat="1" ht="24" customHeight="1">
      <c r="B183" s="99">
        <v>3132</v>
      </c>
      <c r="C183" s="100" t="s">
        <v>1358</v>
      </c>
      <c r="D183" s="84" t="s">
        <v>655</v>
      </c>
      <c r="E183" s="101" t="s">
        <v>1359</v>
      </c>
      <c r="F183" s="84" t="s">
        <v>1360</v>
      </c>
      <c r="G183" s="101" t="s">
        <v>1361</v>
      </c>
      <c r="H183" s="85" t="s">
        <v>1315</v>
      </c>
      <c r="I183" s="99" t="s">
        <v>1315</v>
      </c>
      <c r="J183" s="85" t="s">
        <v>309</v>
      </c>
    </row>
    <row r="184" spans="2:10" s="93" customFormat="1" ht="24" customHeight="1">
      <c r="B184" s="99">
        <v>3215</v>
      </c>
      <c r="C184" s="100" t="s">
        <v>1362</v>
      </c>
      <c r="D184" s="84" t="s">
        <v>655</v>
      </c>
      <c r="E184" s="101" t="s">
        <v>1363</v>
      </c>
      <c r="F184" s="84" t="s">
        <v>1364</v>
      </c>
      <c r="G184" s="101" t="s">
        <v>1365</v>
      </c>
      <c r="H184" s="85" t="s">
        <v>1315</v>
      </c>
      <c r="I184" s="99" t="s">
        <v>1315</v>
      </c>
      <c r="J184" s="85" t="s">
        <v>309</v>
      </c>
    </row>
    <row r="185" spans="2:10" s="93" customFormat="1" ht="24" customHeight="1">
      <c r="B185" s="99">
        <v>4615</v>
      </c>
      <c r="C185" s="100" t="s">
        <v>1366</v>
      </c>
      <c r="D185" s="84" t="s">
        <v>643</v>
      </c>
      <c r="E185" s="101" t="s">
        <v>1367</v>
      </c>
      <c r="F185" s="84" t="s">
        <v>1368</v>
      </c>
      <c r="G185" s="101" t="s">
        <v>1369</v>
      </c>
      <c r="H185" s="85" t="s">
        <v>1315</v>
      </c>
      <c r="I185" s="99" t="s">
        <v>1315</v>
      </c>
      <c r="J185" s="85" t="s">
        <v>309</v>
      </c>
    </row>
    <row r="186" spans="2:10" s="93" customFormat="1" ht="24" customHeight="1">
      <c r="B186" s="99">
        <v>3219</v>
      </c>
      <c r="C186" s="100" t="s">
        <v>1370</v>
      </c>
      <c r="D186" s="84" t="s">
        <v>650</v>
      </c>
      <c r="E186" s="101" t="s">
        <v>1371</v>
      </c>
      <c r="F186" s="84" t="s">
        <v>1372</v>
      </c>
      <c r="G186" s="101" t="s">
        <v>1373</v>
      </c>
      <c r="H186" s="85" t="s">
        <v>1315</v>
      </c>
      <c r="I186" s="99" t="s">
        <v>1315</v>
      </c>
      <c r="J186" s="85" t="s">
        <v>309</v>
      </c>
    </row>
    <row r="187" spans="2:10" s="93" customFormat="1" ht="24" customHeight="1">
      <c r="B187" s="99">
        <v>5365</v>
      </c>
      <c r="C187" s="100" t="s">
        <v>1374</v>
      </c>
      <c r="D187" s="84" t="s">
        <v>643</v>
      </c>
      <c r="E187" s="101" t="s">
        <v>1375</v>
      </c>
      <c r="F187" s="84" t="s">
        <v>1376</v>
      </c>
      <c r="G187" s="101" t="s">
        <v>1377</v>
      </c>
      <c r="H187" s="85" t="s">
        <v>1315</v>
      </c>
      <c r="I187" s="99" t="s">
        <v>1315</v>
      </c>
      <c r="J187" s="85" t="s">
        <v>309</v>
      </c>
    </row>
    <row r="188" spans="2:10" s="93" customFormat="1" ht="24" customHeight="1">
      <c r="B188" s="103">
        <v>3986</v>
      </c>
      <c r="C188" s="104" t="s">
        <v>1378</v>
      </c>
      <c r="D188" s="84" t="s">
        <v>643</v>
      </c>
      <c r="E188" s="106" t="s">
        <v>1379</v>
      </c>
      <c r="F188" s="107"/>
      <c r="G188" s="106" t="s">
        <v>1380</v>
      </c>
      <c r="H188" s="108" t="s">
        <v>1315</v>
      </c>
      <c r="I188" s="109" t="s">
        <v>1315</v>
      </c>
      <c r="J188" s="108" t="s">
        <v>309</v>
      </c>
    </row>
    <row r="189" spans="2:10" s="93" customFormat="1" ht="24" customHeight="1">
      <c r="B189" s="103">
        <v>4073</v>
      </c>
      <c r="C189" s="104" t="s">
        <v>1381</v>
      </c>
      <c r="D189" s="84" t="s">
        <v>655</v>
      </c>
      <c r="E189" s="106" t="s">
        <v>1382</v>
      </c>
      <c r="F189" s="107"/>
      <c r="G189" s="106" t="s">
        <v>1383</v>
      </c>
      <c r="H189" s="108" t="s">
        <v>1315</v>
      </c>
      <c r="I189" s="109" t="s">
        <v>1315</v>
      </c>
      <c r="J189" s="108" t="s">
        <v>309</v>
      </c>
    </row>
    <row r="190" spans="2:10" s="93" customFormat="1" ht="24" customHeight="1">
      <c r="B190" s="103">
        <v>4132</v>
      </c>
      <c r="C190" s="104" t="s">
        <v>1384</v>
      </c>
      <c r="D190" s="84" t="s">
        <v>643</v>
      </c>
      <c r="E190" s="106" t="s">
        <v>1385</v>
      </c>
      <c r="F190" s="107"/>
      <c r="G190" s="106" t="s">
        <v>1386</v>
      </c>
      <c r="H190" s="108" t="s">
        <v>1315</v>
      </c>
      <c r="I190" s="109" t="s">
        <v>1315</v>
      </c>
      <c r="J190" s="108" t="s">
        <v>309</v>
      </c>
    </row>
    <row r="191" spans="2:10" s="93" customFormat="1" ht="24" customHeight="1">
      <c r="B191" s="99">
        <v>5308</v>
      </c>
      <c r="C191" s="100" t="s">
        <v>1387</v>
      </c>
      <c r="D191" s="84" t="s">
        <v>655</v>
      </c>
      <c r="E191" s="101" t="s">
        <v>1388</v>
      </c>
      <c r="F191" s="84" t="s">
        <v>1389</v>
      </c>
      <c r="G191" s="101" t="s">
        <v>1390</v>
      </c>
      <c r="H191" s="85" t="s">
        <v>1315</v>
      </c>
      <c r="I191" s="99" t="s">
        <v>1315</v>
      </c>
      <c r="J191" s="85" t="s">
        <v>309</v>
      </c>
    </row>
    <row r="192" spans="2:10" s="93" customFormat="1" ht="24" customHeight="1">
      <c r="B192" s="99">
        <v>4554</v>
      </c>
      <c r="C192" s="100" t="s">
        <v>1391</v>
      </c>
      <c r="D192" s="84" t="s">
        <v>1392</v>
      </c>
      <c r="E192" s="101" t="s">
        <v>1393</v>
      </c>
      <c r="F192" s="84" t="s">
        <v>1394</v>
      </c>
      <c r="G192" s="101" t="s">
        <v>1395</v>
      </c>
      <c r="H192" s="85" t="s">
        <v>1315</v>
      </c>
      <c r="I192" s="99" t="s">
        <v>1315</v>
      </c>
      <c r="J192" s="85" t="s">
        <v>309</v>
      </c>
    </row>
    <row r="193" spans="2:10" s="93" customFormat="1" ht="24" customHeight="1">
      <c r="B193" s="99">
        <v>5134</v>
      </c>
      <c r="C193" s="100" t="s">
        <v>1396</v>
      </c>
      <c r="D193" s="84" t="s">
        <v>655</v>
      </c>
      <c r="E193" s="101" t="s">
        <v>1397</v>
      </c>
      <c r="F193" s="84" t="s">
        <v>1398</v>
      </c>
      <c r="G193" s="101" t="s">
        <v>1399</v>
      </c>
      <c r="H193" s="85" t="s">
        <v>1315</v>
      </c>
      <c r="I193" s="99" t="s">
        <v>1315</v>
      </c>
      <c r="J193" s="85" t="s">
        <v>309</v>
      </c>
    </row>
    <row r="194" spans="2:10" s="93" customFormat="1" ht="24" customHeight="1">
      <c r="B194" s="115">
        <v>5329</v>
      </c>
      <c r="C194" s="116" t="s">
        <v>1400</v>
      </c>
      <c r="D194" s="84" t="s">
        <v>672</v>
      </c>
      <c r="E194" s="101" t="s">
        <v>1401</v>
      </c>
      <c r="F194" s="84" t="s">
        <v>1402</v>
      </c>
      <c r="G194" s="117" t="s">
        <v>1403</v>
      </c>
      <c r="H194" s="118" t="s">
        <v>1315</v>
      </c>
      <c r="I194" s="115" t="s">
        <v>1315</v>
      </c>
      <c r="J194" s="118" t="s">
        <v>309</v>
      </c>
    </row>
    <row r="195" spans="2:10" s="93" customFormat="1" ht="24" customHeight="1">
      <c r="B195" s="115">
        <v>5328</v>
      </c>
      <c r="C195" s="116" t="s">
        <v>1404</v>
      </c>
      <c r="D195" s="84" t="s">
        <v>672</v>
      </c>
      <c r="E195" s="101" t="s">
        <v>1401</v>
      </c>
      <c r="F195" s="84" t="s">
        <v>1405</v>
      </c>
      <c r="G195" s="117" t="s">
        <v>1403</v>
      </c>
      <c r="H195" s="118" t="s">
        <v>1315</v>
      </c>
      <c r="I195" s="115" t="s">
        <v>1315</v>
      </c>
      <c r="J195" s="118" t="s">
        <v>309</v>
      </c>
    </row>
    <row r="196" spans="2:10" s="93" customFormat="1" ht="24" customHeight="1">
      <c r="B196" s="115">
        <v>5335</v>
      </c>
      <c r="C196" s="116" t="s">
        <v>1406</v>
      </c>
      <c r="D196" s="84" t="s">
        <v>643</v>
      </c>
      <c r="E196" s="101" t="s">
        <v>1407</v>
      </c>
      <c r="F196" s="84" t="s">
        <v>1408</v>
      </c>
      <c r="G196" s="117" t="s">
        <v>1409</v>
      </c>
      <c r="H196" s="118" t="s">
        <v>1315</v>
      </c>
      <c r="I196" s="115" t="s">
        <v>1315</v>
      </c>
      <c r="J196" s="118" t="s">
        <v>309</v>
      </c>
    </row>
    <row r="197" spans="2:10" s="93" customFormat="1" ht="24" customHeight="1">
      <c r="B197" s="99">
        <v>5760</v>
      </c>
      <c r="C197" s="100" t="s">
        <v>1410</v>
      </c>
      <c r="D197" s="111" t="s">
        <v>672</v>
      </c>
      <c r="E197" s="101" t="s">
        <v>1411</v>
      </c>
      <c r="F197" s="111" t="s">
        <v>1412</v>
      </c>
      <c r="G197" s="101" t="s">
        <v>1413</v>
      </c>
      <c r="H197" s="112" t="s">
        <v>1315</v>
      </c>
      <c r="I197" s="99" t="s">
        <v>1315</v>
      </c>
      <c r="J197" s="112" t="s">
        <v>309</v>
      </c>
    </row>
    <row r="198" spans="2:10" s="93" customFormat="1" ht="24" customHeight="1">
      <c r="B198" s="99">
        <v>5749</v>
      </c>
      <c r="C198" s="100" t="s">
        <v>1414</v>
      </c>
      <c r="D198" s="84" t="s">
        <v>655</v>
      </c>
      <c r="E198" s="101" t="s">
        <v>1407</v>
      </c>
      <c r="F198" s="111" t="s">
        <v>1415</v>
      </c>
      <c r="G198" s="101" t="s">
        <v>1416</v>
      </c>
      <c r="H198" s="112" t="s">
        <v>1315</v>
      </c>
      <c r="I198" s="99" t="s">
        <v>1315</v>
      </c>
      <c r="J198" s="112" t="s">
        <v>309</v>
      </c>
    </row>
    <row r="199" spans="2:10" s="93" customFormat="1" ht="24" customHeight="1">
      <c r="B199" s="99">
        <v>5741</v>
      </c>
      <c r="C199" s="100" t="s">
        <v>1417</v>
      </c>
      <c r="D199" s="84" t="s">
        <v>643</v>
      </c>
      <c r="E199" s="101" t="s">
        <v>1418</v>
      </c>
      <c r="F199" s="111" t="s">
        <v>1419</v>
      </c>
      <c r="G199" s="101" t="s">
        <v>1420</v>
      </c>
      <c r="H199" s="112" t="s">
        <v>1315</v>
      </c>
      <c r="I199" s="99" t="s">
        <v>1315</v>
      </c>
      <c r="J199" s="112" t="s">
        <v>309</v>
      </c>
    </row>
    <row r="200" spans="2:10" s="93" customFormat="1" ht="24" customHeight="1">
      <c r="B200" s="99">
        <v>5808</v>
      </c>
      <c r="C200" s="100" t="s">
        <v>1421</v>
      </c>
      <c r="D200" s="84" t="s">
        <v>650</v>
      </c>
      <c r="E200" s="101" t="s">
        <v>1422</v>
      </c>
      <c r="F200" s="84" t="s">
        <v>1423</v>
      </c>
      <c r="G200" s="101" t="s">
        <v>1424</v>
      </c>
      <c r="H200" s="85" t="s">
        <v>1315</v>
      </c>
      <c r="I200" s="99" t="s">
        <v>1315</v>
      </c>
      <c r="J200" s="85" t="s">
        <v>309</v>
      </c>
    </row>
    <row r="201" spans="2:10" s="93" customFormat="1" ht="24" customHeight="1">
      <c r="B201" s="99">
        <v>2110</v>
      </c>
      <c r="C201" s="100" t="s">
        <v>1425</v>
      </c>
      <c r="D201" s="84" t="s">
        <v>1074</v>
      </c>
      <c r="E201" s="101" t="s">
        <v>1426</v>
      </c>
      <c r="F201" s="84" t="s">
        <v>1427</v>
      </c>
      <c r="G201" s="101" t="s">
        <v>1428</v>
      </c>
      <c r="H201" s="85" t="s">
        <v>1429</v>
      </c>
      <c r="I201" s="99" t="s">
        <v>1315</v>
      </c>
      <c r="J201" s="85" t="s">
        <v>309</v>
      </c>
    </row>
    <row r="202" spans="2:10" s="93" customFormat="1" ht="24" customHeight="1">
      <c r="B202" s="99">
        <v>4557</v>
      </c>
      <c r="C202" s="100" t="s">
        <v>1430</v>
      </c>
      <c r="D202" s="84" t="s">
        <v>659</v>
      </c>
      <c r="E202" s="101" t="s">
        <v>1431</v>
      </c>
      <c r="F202" s="84" t="s">
        <v>1432</v>
      </c>
      <c r="G202" s="101" t="s">
        <v>1433</v>
      </c>
      <c r="H202" s="85" t="s">
        <v>1434</v>
      </c>
      <c r="I202" s="99" t="s">
        <v>1434</v>
      </c>
      <c r="J202" s="85" t="s">
        <v>309</v>
      </c>
    </row>
    <row r="203" spans="2:10" s="93" customFormat="1" ht="24" customHeight="1">
      <c r="B203" s="99">
        <v>4620</v>
      </c>
      <c r="C203" s="101" t="s">
        <v>1435</v>
      </c>
      <c r="D203" s="84" t="s">
        <v>682</v>
      </c>
      <c r="E203" s="101" t="s">
        <v>1436</v>
      </c>
      <c r="F203" s="84" t="s">
        <v>1437</v>
      </c>
      <c r="G203" s="101" t="s">
        <v>1438</v>
      </c>
      <c r="H203" s="85" t="s">
        <v>1434</v>
      </c>
      <c r="I203" s="99" t="s">
        <v>1434</v>
      </c>
      <c r="J203" s="85" t="s">
        <v>309</v>
      </c>
    </row>
    <row r="204" spans="2:10" s="93" customFormat="1" ht="24" customHeight="1">
      <c r="B204" s="99">
        <v>3292</v>
      </c>
      <c r="C204" s="100" t="s">
        <v>1439</v>
      </c>
      <c r="D204" s="84" t="s">
        <v>643</v>
      </c>
      <c r="E204" s="101" t="s">
        <v>1440</v>
      </c>
      <c r="F204" s="84" t="s">
        <v>1441</v>
      </c>
      <c r="G204" s="101" t="s">
        <v>1442</v>
      </c>
      <c r="H204" s="85" t="s">
        <v>1309</v>
      </c>
      <c r="I204" s="99" t="s">
        <v>1309</v>
      </c>
      <c r="J204" s="85" t="s">
        <v>311</v>
      </c>
    </row>
    <row r="205" spans="2:10" s="93" customFormat="1" ht="24" customHeight="1">
      <c r="B205" s="99">
        <v>5809</v>
      </c>
      <c r="C205" s="100" t="s">
        <v>1443</v>
      </c>
      <c r="D205" s="84" t="s">
        <v>655</v>
      </c>
      <c r="E205" s="101" t="s">
        <v>1444</v>
      </c>
      <c r="F205" s="111" t="s">
        <v>1445</v>
      </c>
      <c r="G205" s="101" t="s">
        <v>1446</v>
      </c>
      <c r="H205" s="85" t="s">
        <v>1309</v>
      </c>
      <c r="I205" s="99" t="s">
        <v>1309</v>
      </c>
      <c r="J205" s="85" t="s">
        <v>311</v>
      </c>
    </row>
    <row r="206" spans="2:10" s="93" customFormat="1" ht="24" customHeight="1">
      <c r="B206" s="99">
        <v>4966</v>
      </c>
      <c r="C206" s="100" t="s">
        <v>1447</v>
      </c>
      <c r="D206" s="84" t="s">
        <v>655</v>
      </c>
      <c r="E206" s="101" t="s">
        <v>1448</v>
      </c>
      <c r="F206" s="84" t="s">
        <v>1449</v>
      </c>
      <c r="G206" s="101" t="s">
        <v>1450</v>
      </c>
      <c r="H206" s="85" t="s">
        <v>1309</v>
      </c>
      <c r="I206" s="99" t="s">
        <v>1309</v>
      </c>
      <c r="J206" s="85" t="s">
        <v>311</v>
      </c>
    </row>
    <row r="207" spans="2:10" s="93" customFormat="1" ht="24" customHeight="1">
      <c r="B207" s="99">
        <v>5031</v>
      </c>
      <c r="C207" s="100" t="s">
        <v>1451</v>
      </c>
      <c r="D207" s="84" t="s">
        <v>650</v>
      </c>
      <c r="E207" s="101" t="s">
        <v>1452</v>
      </c>
      <c r="F207" s="84" t="s">
        <v>1453</v>
      </c>
      <c r="G207" s="101" t="s">
        <v>1454</v>
      </c>
      <c r="H207" s="85" t="s">
        <v>1309</v>
      </c>
      <c r="I207" s="99" t="s">
        <v>1309</v>
      </c>
      <c r="J207" s="85" t="s">
        <v>311</v>
      </c>
    </row>
    <row r="208" spans="2:10" s="93" customFormat="1" ht="24" customHeight="1">
      <c r="B208" s="99">
        <v>3295</v>
      </c>
      <c r="C208" s="100" t="s">
        <v>1455</v>
      </c>
      <c r="D208" s="84" t="s">
        <v>643</v>
      </c>
      <c r="E208" s="101" t="s">
        <v>1456</v>
      </c>
      <c r="F208" s="84" t="s">
        <v>1457</v>
      </c>
      <c r="G208" s="101" t="s">
        <v>1458</v>
      </c>
      <c r="H208" s="85" t="s">
        <v>1315</v>
      </c>
      <c r="I208" s="99" t="s">
        <v>1315</v>
      </c>
      <c r="J208" s="85" t="s">
        <v>311</v>
      </c>
    </row>
    <row r="209" spans="2:10" s="93" customFormat="1" ht="24" customHeight="1">
      <c r="B209" s="99">
        <v>3116</v>
      </c>
      <c r="C209" s="100" t="s">
        <v>1459</v>
      </c>
      <c r="D209" s="84" t="s">
        <v>643</v>
      </c>
      <c r="E209" s="101" t="s">
        <v>1460</v>
      </c>
      <c r="F209" s="84" t="s">
        <v>1461</v>
      </c>
      <c r="G209" s="101" t="s">
        <v>1462</v>
      </c>
      <c r="H209" s="85" t="s">
        <v>1434</v>
      </c>
      <c r="I209" s="99" t="s">
        <v>1434</v>
      </c>
      <c r="J209" s="85" t="s">
        <v>311</v>
      </c>
    </row>
    <row r="210" spans="2:10" s="93" customFormat="1" ht="24" customHeight="1">
      <c r="B210" s="99">
        <v>3487</v>
      </c>
      <c r="C210" s="100" t="s">
        <v>1463</v>
      </c>
      <c r="D210" s="84" t="s">
        <v>643</v>
      </c>
      <c r="E210" s="101" t="s">
        <v>1464</v>
      </c>
      <c r="F210" s="84"/>
      <c r="G210" s="101" t="s">
        <v>1465</v>
      </c>
      <c r="H210" s="108" t="s">
        <v>1466</v>
      </c>
      <c r="I210" s="109" t="s">
        <v>1466</v>
      </c>
      <c r="J210" s="85" t="s">
        <v>1467</v>
      </c>
    </row>
    <row r="211" spans="2:10" s="93" customFormat="1" ht="24" customHeight="1">
      <c r="B211" s="103">
        <v>4024</v>
      </c>
      <c r="C211" s="104" t="s">
        <v>1468</v>
      </c>
      <c r="D211" s="84" t="s">
        <v>668</v>
      </c>
      <c r="E211" s="106" t="s">
        <v>1469</v>
      </c>
      <c r="F211" s="107"/>
      <c r="G211" s="106" t="s">
        <v>1470</v>
      </c>
      <c r="H211" s="108" t="s">
        <v>1466</v>
      </c>
      <c r="I211" s="109" t="s">
        <v>1466</v>
      </c>
      <c r="J211" s="108" t="s">
        <v>1467</v>
      </c>
    </row>
    <row r="212" spans="2:10" s="93" customFormat="1" ht="24" customHeight="1">
      <c r="B212" s="103">
        <v>4077</v>
      </c>
      <c r="C212" s="104" t="s">
        <v>1471</v>
      </c>
      <c r="D212" s="84" t="s">
        <v>655</v>
      </c>
      <c r="E212" s="106" t="s">
        <v>1472</v>
      </c>
      <c r="F212" s="107"/>
      <c r="G212" s="106" t="s">
        <v>1473</v>
      </c>
      <c r="H212" s="108" t="s">
        <v>1466</v>
      </c>
      <c r="I212" s="109" t="s">
        <v>1466</v>
      </c>
      <c r="J212" s="108" t="s">
        <v>1467</v>
      </c>
    </row>
    <row r="213" spans="2:10" s="93" customFormat="1" ht="24" customHeight="1">
      <c r="B213" s="103">
        <v>4086</v>
      </c>
      <c r="C213" s="104" t="s">
        <v>1474</v>
      </c>
      <c r="D213" s="84" t="s">
        <v>643</v>
      </c>
      <c r="E213" s="106" t="s">
        <v>1475</v>
      </c>
      <c r="F213" s="107"/>
      <c r="G213" s="106" t="s">
        <v>1476</v>
      </c>
      <c r="H213" s="108" t="s">
        <v>1466</v>
      </c>
      <c r="I213" s="109" t="s">
        <v>1466</v>
      </c>
      <c r="J213" s="108" t="s">
        <v>1467</v>
      </c>
    </row>
    <row r="214" spans="2:10" s="93" customFormat="1" ht="24" customHeight="1">
      <c r="B214" s="103">
        <v>4004</v>
      </c>
      <c r="C214" s="104" t="s">
        <v>1477</v>
      </c>
      <c r="D214" s="84" t="s">
        <v>643</v>
      </c>
      <c r="E214" s="106" t="s">
        <v>1478</v>
      </c>
      <c r="F214" s="107"/>
      <c r="G214" s="106" t="s">
        <v>1479</v>
      </c>
      <c r="H214" s="108" t="s">
        <v>1466</v>
      </c>
      <c r="I214" s="109" t="s">
        <v>1466</v>
      </c>
      <c r="J214" s="108" t="s">
        <v>1467</v>
      </c>
    </row>
    <row r="215" spans="2:10" s="93" customFormat="1" ht="24" customHeight="1">
      <c r="B215" s="99">
        <v>4553</v>
      </c>
      <c r="C215" s="100" t="s">
        <v>1480</v>
      </c>
      <c r="D215" s="84" t="s">
        <v>1261</v>
      </c>
      <c r="E215" s="101" t="s">
        <v>1481</v>
      </c>
      <c r="F215" s="84" t="s">
        <v>1482</v>
      </c>
      <c r="G215" s="101" t="s">
        <v>1483</v>
      </c>
      <c r="H215" s="108" t="s">
        <v>1466</v>
      </c>
      <c r="I215" s="109" t="s">
        <v>1466</v>
      </c>
      <c r="J215" s="85" t="s">
        <v>1467</v>
      </c>
    </row>
    <row r="216" spans="2:10" s="93" customFormat="1" ht="24" customHeight="1">
      <c r="B216" s="99">
        <v>4619</v>
      </c>
      <c r="C216" s="100" t="s">
        <v>1484</v>
      </c>
      <c r="D216" s="84" t="s">
        <v>659</v>
      </c>
      <c r="E216" s="101" t="s">
        <v>1485</v>
      </c>
      <c r="F216" s="84" t="s">
        <v>1486</v>
      </c>
      <c r="G216" s="101" t="s">
        <v>1487</v>
      </c>
      <c r="H216" s="85" t="s">
        <v>1488</v>
      </c>
      <c r="I216" s="99" t="s">
        <v>1488</v>
      </c>
      <c r="J216" s="85" t="s">
        <v>319</v>
      </c>
    </row>
    <row r="217" spans="2:10" s="93" customFormat="1" ht="24" customHeight="1">
      <c r="B217" s="99">
        <v>4608</v>
      </c>
      <c r="C217" s="100" t="s">
        <v>1489</v>
      </c>
      <c r="D217" s="84" t="s">
        <v>643</v>
      </c>
      <c r="E217" s="101" t="s">
        <v>1490</v>
      </c>
      <c r="F217" s="84" t="s">
        <v>1491</v>
      </c>
      <c r="G217" s="101" t="s">
        <v>1492</v>
      </c>
      <c r="H217" s="85" t="s">
        <v>1488</v>
      </c>
      <c r="I217" s="99" t="s">
        <v>1488</v>
      </c>
      <c r="J217" s="85" t="s">
        <v>319</v>
      </c>
    </row>
    <row r="218" spans="2:10" s="93" customFormat="1" ht="24" customHeight="1">
      <c r="B218" s="99">
        <v>3501</v>
      </c>
      <c r="C218" s="100" t="s">
        <v>1493</v>
      </c>
      <c r="D218" s="84" t="s">
        <v>655</v>
      </c>
      <c r="E218" s="101" t="s">
        <v>1494</v>
      </c>
      <c r="F218" s="84" t="s">
        <v>1495</v>
      </c>
      <c r="G218" s="101" t="s">
        <v>1496</v>
      </c>
      <c r="H218" s="85" t="s">
        <v>1497</v>
      </c>
      <c r="I218" s="99" t="s">
        <v>1497</v>
      </c>
      <c r="J218" s="85" t="s">
        <v>319</v>
      </c>
    </row>
    <row r="219" spans="2:10" s="93" customFormat="1" ht="24" customHeight="1">
      <c r="B219" s="99">
        <v>4607</v>
      </c>
      <c r="C219" s="100" t="s">
        <v>1498</v>
      </c>
      <c r="D219" s="84" t="s">
        <v>643</v>
      </c>
      <c r="E219" s="101" t="s">
        <v>1499</v>
      </c>
      <c r="F219" s="84" t="s">
        <v>1500</v>
      </c>
      <c r="G219" s="101" t="s">
        <v>1501</v>
      </c>
      <c r="H219" s="85" t="s">
        <v>1497</v>
      </c>
      <c r="I219" s="99" t="s">
        <v>1497</v>
      </c>
      <c r="J219" s="85" t="s">
        <v>319</v>
      </c>
    </row>
    <row r="220" spans="2:10" s="93" customFormat="1" ht="24" customHeight="1">
      <c r="B220" s="99">
        <v>3256</v>
      </c>
      <c r="C220" s="84" t="s">
        <v>1502</v>
      </c>
      <c r="D220" s="101" t="s">
        <v>643</v>
      </c>
      <c r="E220" s="101" t="s">
        <v>1503</v>
      </c>
      <c r="F220" s="84" t="s">
        <v>1504</v>
      </c>
      <c r="G220" s="101" t="s">
        <v>1505</v>
      </c>
      <c r="H220" s="85" t="s">
        <v>1506</v>
      </c>
      <c r="I220" s="99" t="s">
        <v>1506</v>
      </c>
      <c r="J220" s="85" t="s">
        <v>1507</v>
      </c>
    </row>
    <row r="221" spans="2:10" s="93" customFormat="1" ht="24" customHeight="1">
      <c r="B221" s="99">
        <v>5324</v>
      </c>
      <c r="C221" s="84" t="s">
        <v>1508</v>
      </c>
      <c r="D221" s="101" t="s">
        <v>813</v>
      </c>
      <c r="E221" s="101" t="s">
        <v>1509</v>
      </c>
      <c r="F221" s="84" t="s">
        <v>1510</v>
      </c>
      <c r="G221" s="101" t="s">
        <v>1511</v>
      </c>
      <c r="H221" s="85" t="s">
        <v>1506</v>
      </c>
      <c r="I221" s="99" t="s">
        <v>1506</v>
      </c>
      <c r="J221" s="85" t="s">
        <v>1507</v>
      </c>
    </row>
    <row r="222" spans="2:10" s="93" customFormat="1" ht="24" customHeight="1">
      <c r="B222" s="99">
        <v>3389</v>
      </c>
      <c r="C222" s="84" t="s">
        <v>1512</v>
      </c>
      <c r="D222" s="101" t="s">
        <v>643</v>
      </c>
      <c r="E222" s="101" t="s">
        <v>1513</v>
      </c>
      <c r="F222" s="84" t="s">
        <v>1514</v>
      </c>
      <c r="G222" s="101" t="s">
        <v>1515</v>
      </c>
      <c r="H222" s="85" t="s">
        <v>1506</v>
      </c>
      <c r="I222" s="99" t="s">
        <v>1506</v>
      </c>
      <c r="J222" s="85" t="s">
        <v>1507</v>
      </c>
    </row>
    <row r="223" spans="2:10" s="93" customFormat="1" ht="24" customHeight="1">
      <c r="B223" s="99">
        <v>5810</v>
      </c>
      <c r="C223" s="84" t="s">
        <v>1516</v>
      </c>
      <c r="D223" s="101" t="s">
        <v>643</v>
      </c>
      <c r="E223" s="101" t="s">
        <v>1517</v>
      </c>
      <c r="F223" s="111" t="s">
        <v>1518</v>
      </c>
      <c r="G223" s="101" t="s">
        <v>1519</v>
      </c>
      <c r="H223" s="112" t="s">
        <v>1506</v>
      </c>
      <c r="I223" s="99" t="s">
        <v>1506</v>
      </c>
      <c r="J223" s="112" t="s">
        <v>1507</v>
      </c>
    </row>
    <row r="224" spans="2:10" s="93" customFormat="1" ht="24" customHeight="1">
      <c r="B224" s="99">
        <v>4707</v>
      </c>
      <c r="C224" s="84" t="s">
        <v>1520</v>
      </c>
      <c r="D224" s="101" t="s">
        <v>813</v>
      </c>
      <c r="E224" s="101" t="s">
        <v>1521</v>
      </c>
      <c r="F224" s="84" t="s">
        <v>1522</v>
      </c>
      <c r="G224" s="101" t="s">
        <v>1523</v>
      </c>
      <c r="H224" s="85" t="s">
        <v>1524</v>
      </c>
      <c r="I224" s="99" t="s">
        <v>1524</v>
      </c>
      <c r="J224" s="85" t="s">
        <v>323</v>
      </c>
    </row>
    <row r="225" spans="2:16" s="93" customFormat="1" ht="24" customHeight="1">
      <c r="B225" s="99">
        <v>5771</v>
      </c>
      <c r="C225" s="84" t="s">
        <v>1525</v>
      </c>
      <c r="D225" s="101" t="s">
        <v>655</v>
      </c>
      <c r="E225" s="101" t="s">
        <v>1526</v>
      </c>
      <c r="F225" s="111"/>
      <c r="G225" s="101" t="s">
        <v>1527</v>
      </c>
      <c r="H225" s="85" t="s">
        <v>1524</v>
      </c>
      <c r="I225" s="99" t="s">
        <v>1524</v>
      </c>
      <c r="J225" s="85" t="s">
        <v>323</v>
      </c>
    </row>
    <row r="226" spans="2:16" s="93" customFormat="1" ht="24" customHeight="1">
      <c r="B226" s="99">
        <v>5772</v>
      </c>
      <c r="C226" s="84" t="s">
        <v>1528</v>
      </c>
      <c r="D226" s="101" t="s">
        <v>655</v>
      </c>
      <c r="E226" s="101" t="s">
        <v>1526</v>
      </c>
      <c r="F226" s="111"/>
      <c r="G226" s="101" t="s">
        <v>1529</v>
      </c>
      <c r="H226" s="85" t="s">
        <v>1524</v>
      </c>
      <c r="I226" s="99" t="s">
        <v>1524</v>
      </c>
      <c r="J226" s="85" t="s">
        <v>323</v>
      </c>
    </row>
    <row r="227" spans="2:16" s="93" customFormat="1" ht="24" customHeight="1">
      <c r="B227" s="99">
        <v>5773</v>
      </c>
      <c r="C227" s="119" t="s">
        <v>1530</v>
      </c>
      <c r="D227" s="101" t="s">
        <v>655</v>
      </c>
      <c r="E227" s="101" t="s">
        <v>1526</v>
      </c>
      <c r="F227" s="111"/>
      <c r="G227" s="101" t="s">
        <v>1531</v>
      </c>
      <c r="H227" s="85" t="s">
        <v>1524</v>
      </c>
      <c r="I227" s="99" t="s">
        <v>1524</v>
      </c>
      <c r="J227" s="85" t="s">
        <v>323</v>
      </c>
    </row>
    <row r="228" spans="2:16" s="93" customFormat="1" ht="24" customHeight="1">
      <c r="B228" s="99">
        <v>5774</v>
      </c>
      <c r="C228" s="119" t="s">
        <v>1532</v>
      </c>
      <c r="D228" s="101" t="s">
        <v>655</v>
      </c>
      <c r="E228" s="101" t="s">
        <v>1526</v>
      </c>
      <c r="F228" s="111"/>
      <c r="G228" s="101" t="s">
        <v>1533</v>
      </c>
      <c r="H228" s="85" t="s">
        <v>1524</v>
      </c>
      <c r="I228" s="99" t="s">
        <v>1524</v>
      </c>
      <c r="J228" s="85" t="s">
        <v>323</v>
      </c>
      <c r="K228" s="110"/>
      <c r="L228" s="110"/>
      <c r="M228" s="110"/>
      <c r="N228" s="110"/>
      <c r="O228" s="110"/>
      <c r="P228" s="110"/>
    </row>
    <row r="229" spans="2:16" s="93" customFormat="1" ht="24" customHeight="1">
      <c r="B229" s="99">
        <v>3126</v>
      </c>
      <c r="C229" s="84" t="s">
        <v>1534</v>
      </c>
      <c r="D229" s="101" t="s">
        <v>677</v>
      </c>
      <c r="E229" s="101" t="s">
        <v>1535</v>
      </c>
      <c r="F229" s="84"/>
      <c r="G229" s="101" t="s">
        <v>1536</v>
      </c>
      <c r="H229" s="85" t="s">
        <v>1524</v>
      </c>
      <c r="I229" s="99" t="s">
        <v>1524</v>
      </c>
      <c r="J229" s="85" t="s">
        <v>323</v>
      </c>
    </row>
    <row r="230" spans="2:16" s="93" customFormat="1" ht="24" customHeight="1">
      <c r="B230" s="99">
        <v>3126</v>
      </c>
      <c r="C230" s="84" t="s">
        <v>1537</v>
      </c>
      <c r="D230" s="101" t="s">
        <v>1216</v>
      </c>
      <c r="E230" s="101" t="s">
        <v>1535</v>
      </c>
      <c r="F230" s="84"/>
      <c r="G230" s="101" t="s">
        <v>1536</v>
      </c>
      <c r="H230" s="85" t="s">
        <v>1524</v>
      </c>
      <c r="I230" s="99" t="s">
        <v>1524</v>
      </c>
      <c r="J230" s="85" t="s">
        <v>323</v>
      </c>
    </row>
    <row r="231" spans="2:16" s="93" customFormat="1" ht="24" customHeight="1">
      <c r="B231" s="99">
        <v>2168</v>
      </c>
      <c r="C231" s="100" t="s">
        <v>1538</v>
      </c>
      <c r="D231" s="84" t="s">
        <v>672</v>
      </c>
      <c r="E231" s="101" t="s">
        <v>1539</v>
      </c>
      <c r="F231" s="84" t="s">
        <v>1540</v>
      </c>
      <c r="G231" s="101" t="s">
        <v>1541</v>
      </c>
      <c r="H231" s="85" t="s">
        <v>1524</v>
      </c>
      <c r="I231" s="99" t="s">
        <v>1524</v>
      </c>
      <c r="J231" s="85" t="s">
        <v>323</v>
      </c>
    </row>
    <row r="232" spans="2:16" s="93" customFormat="1" ht="24" customHeight="1">
      <c r="B232" s="99">
        <v>3126</v>
      </c>
      <c r="C232" s="100" t="s">
        <v>1542</v>
      </c>
      <c r="D232" s="84" t="s">
        <v>1543</v>
      </c>
      <c r="E232" s="101" t="s">
        <v>1535</v>
      </c>
      <c r="F232" s="84"/>
      <c r="G232" s="101" t="s">
        <v>1536</v>
      </c>
      <c r="H232" s="85" t="s">
        <v>1524</v>
      </c>
      <c r="I232" s="99" t="s">
        <v>1524</v>
      </c>
      <c r="J232" s="85" t="s">
        <v>323</v>
      </c>
    </row>
    <row r="233" spans="2:16" s="93" customFormat="1" ht="24" customHeight="1">
      <c r="B233" s="99">
        <v>3196</v>
      </c>
      <c r="C233" s="100" t="s">
        <v>1544</v>
      </c>
      <c r="D233" s="84" t="s">
        <v>643</v>
      </c>
      <c r="E233" s="101" t="s">
        <v>1545</v>
      </c>
      <c r="F233" s="84" t="s">
        <v>1546</v>
      </c>
      <c r="G233" s="101" t="s">
        <v>1547</v>
      </c>
      <c r="H233" s="85" t="s">
        <v>1524</v>
      </c>
      <c r="I233" s="99" t="s">
        <v>1524</v>
      </c>
      <c r="J233" s="85" t="s">
        <v>323</v>
      </c>
    </row>
    <row r="234" spans="2:16" s="93" customFormat="1" ht="24" customHeight="1">
      <c r="B234" s="99">
        <v>3681</v>
      </c>
      <c r="C234" s="104" t="s">
        <v>1548</v>
      </c>
      <c r="D234" s="84" t="s">
        <v>682</v>
      </c>
      <c r="E234" s="101" t="s">
        <v>1549</v>
      </c>
      <c r="F234" s="84"/>
      <c r="G234" s="120" t="s">
        <v>1550</v>
      </c>
      <c r="H234" s="85" t="s">
        <v>1524</v>
      </c>
      <c r="I234" s="99" t="s">
        <v>1524</v>
      </c>
      <c r="J234" s="85" t="s">
        <v>323</v>
      </c>
    </row>
    <row r="235" spans="2:16" s="93" customFormat="1" ht="24" customHeight="1">
      <c r="B235" s="99">
        <v>3683</v>
      </c>
      <c r="C235" s="100" t="s">
        <v>1551</v>
      </c>
      <c r="D235" s="84" t="s">
        <v>643</v>
      </c>
      <c r="E235" s="101" t="s">
        <v>1552</v>
      </c>
      <c r="F235" s="84" t="s">
        <v>1553</v>
      </c>
      <c r="G235" s="101" t="s">
        <v>1554</v>
      </c>
      <c r="H235" s="85" t="s">
        <v>1524</v>
      </c>
      <c r="I235" s="99" t="s">
        <v>1524</v>
      </c>
      <c r="J235" s="85" t="s">
        <v>323</v>
      </c>
    </row>
    <row r="236" spans="2:16" s="93" customFormat="1" ht="24" customHeight="1">
      <c r="B236" s="99">
        <v>4785</v>
      </c>
      <c r="C236" s="100" t="s">
        <v>1555</v>
      </c>
      <c r="D236" s="84" t="s">
        <v>655</v>
      </c>
      <c r="E236" s="101" t="s">
        <v>1556</v>
      </c>
      <c r="F236" s="84" t="s">
        <v>1557</v>
      </c>
      <c r="G236" s="101" t="s">
        <v>1558</v>
      </c>
      <c r="H236" s="85" t="s">
        <v>1524</v>
      </c>
      <c r="I236" s="99" t="s">
        <v>1524</v>
      </c>
      <c r="J236" s="85" t="s">
        <v>323</v>
      </c>
    </row>
    <row r="237" spans="2:16" s="93" customFormat="1" ht="24" customHeight="1">
      <c r="B237" s="99">
        <v>5462</v>
      </c>
      <c r="C237" s="100" t="s">
        <v>1559</v>
      </c>
      <c r="D237" s="84" t="s">
        <v>672</v>
      </c>
      <c r="E237" s="101" t="s">
        <v>1556</v>
      </c>
      <c r="F237" s="84" t="s">
        <v>1560</v>
      </c>
      <c r="G237" s="101" t="s">
        <v>1561</v>
      </c>
      <c r="H237" s="85" t="s">
        <v>1524</v>
      </c>
      <c r="I237" s="99" t="s">
        <v>1524</v>
      </c>
      <c r="J237" s="85" t="s">
        <v>323</v>
      </c>
    </row>
    <row r="238" spans="2:16" s="93" customFormat="1" ht="24" customHeight="1">
      <c r="B238" s="99">
        <v>5461</v>
      </c>
      <c r="C238" s="100" t="s">
        <v>1562</v>
      </c>
      <c r="D238" s="84" t="s">
        <v>672</v>
      </c>
      <c r="E238" s="101" t="s">
        <v>1556</v>
      </c>
      <c r="F238" s="84" t="s">
        <v>1563</v>
      </c>
      <c r="G238" s="101" t="s">
        <v>1564</v>
      </c>
      <c r="H238" s="85" t="s">
        <v>1524</v>
      </c>
      <c r="I238" s="99" t="s">
        <v>1524</v>
      </c>
      <c r="J238" s="85" t="s">
        <v>323</v>
      </c>
    </row>
    <row r="239" spans="2:16" s="93" customFormat="1" ht="24" customHeight="1">
      <c r="B239" s="99">
        <v>4600</v>
      </c>
      <c r="C239" s="100" t="s">
        <v>1565</v>
      </c>
      <c r="D239" s="84" t="s">
        <v>643</v>
      </c>
      <c r="E239" s="101" t="s">
        <v>1566</v>
      </c>
      <c r="F239" s="84" t="s">
        <v>1567</v>
      </c>
      <c r="G239" s="101" t="s">
        <v>1568</v>
      </c>
      <c r="H239" s="85" t="s">
        <v>1524</v>
      </c>
      <c r="I239" s="99" t="s">
        <v>1524</v>
      </c>
      <c r="J239" s="85" t="s">
        <v>323</v>
      </c>
    </row>
    <row r="240" spans="2:16" s="93" customFormat="1" ht="24" customHeight="1">
      <c r="B240" s="99">
        <v>2191</v>
      </c>
      <c r="C240" s="100" t="s">
        <v>1569</v>
      </c>
      <c r="D240" s="84" t="s">
        <v>643</v>
      </c>
      <c r="E240" s="101" t="s">
        <v>1570</v>
      </c>
      <c r="F240" s="84" t="s">
        <v>1571</v>
      </c>
      <c r="G240" s="101" t="s">
        <v>1572</v>
      </c>
      <c r="H240" s="85" t="s">
        <v>1524</v>
      </c>
      <c r="I240" s="99" t="s">
        <v>1524</v>
      </c>
      <c r="J240" s="85" t="s">
        <v>323</v>
      </c>
    </row>
    <row r="241" spans="2:10" s="93" customFormat="1" ht="24" customHeight="1">
      <c r="B241" s="99">
        <v>4599</v>
      </c>
      <c r="C241" s="100" t="s">
        <v>1573</v>
      </c>
      <c r="D241" s="84" t="s">
        <v>643</v>
      </c>
      <c r="E241" s="101" t="s">
        <v>1566</v>
      </c>
      <c r="F241" s="84" t="s">
        <v>1567</v>
      </c>
      <c r="G241" s="101" t="s">
        <v>1568</v>
      </c>
      <c r="H241" s="85" t="s">
        <v>1524</v>
      </c>
      <c r="I241" s="99" t="s">
        <v>1524</v>
      </c>
      <c r="J241" s="85" t="s">
        <v>323</v>
      </c>
    </row>
    <row r="242" spans="2:10" s="93" customFormat="1" ht="24" customHeight="1">
      <c r="B242" s="99">
        <v>5525</v>
      </c>
      <c r="C242" s="100" t="s">
        <v>1574</v>
      </c>
      <c r="D242" s="84" t="s">
        <v>643</v>
      </c>
      <c r="E242" s="101" t="s">
        <v>1566</v>
      </c>
      <c r="F242" s="84" t="s">
        <v>1575</v>
      </c>
      <c r="G242" s="101" t="s">
        <v>1568</v>
      </c>
      <c r="H242" s="85" t="s">
        <v>1524</v>
      </c>
      <c r="I242" s="99" t="s">
        <v>1524</v>
      </c>
      <c r="J242" s="85" t="s">
        <v>323</v>
      </c>
    </row>
    <row r="243" spans="2:10" s="93" customFormat="1" ht="24" customHeight="1">
      <c r="B243" s="99">
        <v>5021</v>
      </c>
      <c r="C243" s="100" t="s">
        <v>1576</v>
      </c>
      <c r="D243" s="84" t="s">
        <v>655</v>
      </c>
      <c r="E243" s="101" t="s">
        <v>1577</v>
      </c>
      <c r="F243" s="84" t="s">
        <v>1578</v>
      </c>
      <c r="G243" s="101" t="s">
        <v>1579</v>
      </c>
      <c r="H243" s="85" t="s">
        <v>1524</v>
      </c>
      <c r="I243" s="99" t="s">
        <v>1524</v>
      </c>
      <c r="J243" s="85" t="s">
        <v>323</v>
      </c>
    </row>
    <row r="244" spans="2:10" s="93" customFormat="1" ht="24" customHeight="1">
      <c r="B244" s="99">
        <v>5684</v>
      </c>
      <c r="C244" s="100" t="s">
        <v>1580</v>
      </c>
      <c r="D244" s="84" t="s">
        <v>655</v>
      </c>
      <c r="E244" s="101" t="s">
        <v>1556</v>
      </c>
      <c r="F244" s="111"/>
      <c r="G244" s="101" t="s">
        <v>1581</v>
      </c>
      <c r="H244" s="85" t="s">
        <v>1524</v>
      </c>
      <c r="I244" s="99" t="s">
        <v>1524</v>
      </c>
      <c r="J244" s="85" t="s">
        <v>323</v>
      </c>
    </row>
    <row r="245" spans="2:10" s="93" customFormat="1" ht="24" customHeight="1">
      <c r="B245" s="99">
        <v>5466</v>
      </c>
      <c r="C245" s="100" t="s">
        <v>1582</v>
      </c>
      <c r="D245" s="84" t="s">
        <v>650</v>
      </c>
      <c r="E245" s="101" t="s">
        <v>1583</v>
      </c>
      <c r="F245" s="84" t="s">
        <v>1584</v>
      </c>
      <c r="G245" s="101" t="s">
        <v>1564</v>
      </c>
      <c r="H245" s="85" t="s">
        <v>1524</v>
      </c>
      <c r="I245" s="99" t="s">
        <v>1524</v>
      </c>
      <c r="J245" s="85" t="s">
        <v>323</v>
      </c>
    </row>
    <row r="246" spans="2:10" s="93" customFormat="1" ht="24" customHeight="1">
      <c r="B246" s="99">
        <v>5377</v>
      </c>
      <c r="C246" s="100" t="s">
        <v>1585</v>
      </c>
      <c r="D246" s="84" t="s">
        <v>655</v>
      </c>
      <c r="E246" s="101" t="s">
        <v>1556</v>
      </c>
      <c r="F246" s="84"/>
      <c r="G246" s="101" t="s">
        <v>1586</v>
      </c>
      <c r="H246" s="85" t="s">
        <v>1524</v>
      </c>
      <c r="I246" s="99" t="s">
        <v>1524</v>
      </c>
      <c r="J246" s="85" t="s">
        <v>323</v>
      </c>
    </row>
    <row r="247" spans="2:10" s="93" customFormat="1" ht="24" customHeight="1">
      <c r="B247" s="99">
        <v>5463</v>
      </c>
      <c r="C247" s="100" t="s">
        <v>1587</v>
      </c>
      <c r="D247" s="84" t="s">
        <v>650</v>
      </c>
      <c r="E247" s="101" t="s">
        <v>1566</v>
      </c>
      <c r="F247" s="84" t="s">
        <v>1588</v>
      </c>
      <c r="G247" s="101" t="s">
        <v>1568</v>
      </c>
      <c r="H247" s="85" t="s">
        <v>1524</v>
      </c>
      <c r="I247" s="99" t="s">
        <v>1524</v>
      </c>
      <c r="J247" s="85" t="s">
        <v>323</v>
      </c>
    </row>
    <row r="248" spans="2:10" s="93" customFormat="1" ht="24" customHeight="1">
      <c r="B248" s="99">
        <v>3682</v>
      </c>
      <c r="C248" s="100" t="s">
        <v>1589</v>
      </c>
      <c r="D248" s="84" t="s">
        <v>655</v>
      </c>
      <c r="E248" s="101" t="s">
        <v>1552</v>
      </c>
      <c r="F248" s="84" t="s">
        <v>1590</v>
      </c>
      <c r="G248" s="101" t="s">
        <v>1554</v>
      </c>
      <c r="H248" s="85" t="s">
        <v>1524</v>
      </c>
      <c r="I248" s="99" t="s">
        <v>1524</v>
      </c>
      <c r="J248" s="85" t="s">
        <v>323</v>
      </c>
    </row>
    <row r="249" spans="2:10" s="93" customFormat="1" ht="24" customHeight="1">
      <c r="B249" s="99">
        <v>5084</v>
      </c>
      <c r="C249" s="100" t="s">
        <v>1591</v>
      </c>
      <c r="D249" s="84" t="s">
        <v>672</v>
      </c>
      <c r="E249" s="101" t="s">
        <v>1592</v>
      </c>
      <c r="F249" s="84" t="s">
        <v>1593</v>
      </c>
      <c r="G249" s="101" t="s">
        <v>1594</v>
      </c>
      <c r="H249" s="85" t="s">
        <v>1524</v>
      </c>
      <c r="I249" s="99" t="s">
        <v>1524</v>
      </c>
      <c r="J249" s="85" t="s">
        <v>323</v>
      </c>
    </row>
    <row r="250" spans="2:10" s="93" customFormat="1" ht="24" customHeight="1">
      <c r="B250" s="99">
        <v>5738</v>
      </c>
      <c r="C250" s="121" t="s">
        <v>1595</v>
      </c>
      <c r="D250" s="84" t="s">
        <v>643</v>
      </c>
      <c r="E250" s="101" t="s">
        <v>1596</v>
      </c>
      <c r="F250" s="84" t="s">
        <v>1597</v>
      </c>
      <c r="G250" s="101" t="s">
        <v>1598</v>
      </c>
      <c r="H250" s="85" t="s">
        <v>1524</v>
      </c>
      <c r="I250" s="99" t="s">
        <v>1524</v>
      </c>
      <c r="J250" s="85" t="s">
        <v>323</v>
      </c>
    </row>
    <row r="251" spans="2:10" s="93" customFormat="1" ht="24" customHeight="1">
      <c r="B251" s="99">
        <v>5900</v>
      </c>
      <c r="C251" s="100" t="s">
        <v>1599</v>
      </c>
      <c r="D251" s="111" t="s">
        <v>1600</v>
      </c>
      <c r="E251" s="101" t="s">
        <v>1526</v>
      </c>
      <c r="F251" s="111" t="s">
        <v>1601</v>
      </c>
      <c r="G251" s="101" t="s">
        <v>1602</v>
      </c>
      <c r="H251" s="112" t="s">
        <v>1524</v>
      </c>
      <c r="I251" s="99" t="s">
        <v>1524</v>
      </c>
      <c r="J251" s="112" t="s">
        <v>323</v>
      </c>
    </row>
    <row r="252" spans="2:10" s="93" customFormat="1" ht="24" customHeight="1">
      <c r="B252" s="99">
        <v>5927</v>
      </c>
      <c r="C252" s="100" t="s">
        <v>1603</v>
      </c>
      <c r="D252" s="111" t="s">
        <v>773</v>
      </c>
      <c r="E252" s="101" t="s">
        <v>1604</v>
      </c>
      <c r="F252" s="111" t="s">
        <v>1605</v>
      </c>
      <c r="G252" s="101" t="s">
        <v>1606</v>
      </c>
      <c r="H252" s="85" t="s">
        <v>1524</v>
      </c>
      <c r="I252" s="99" t="s">
        <v>1524</v>
      </c>
      <c r="J252" s="112" t="s">
        <v>323</v>
      </c>
    </row>
    <row r="253" spans="2:10" s="93" customFormat="1" ht="24" customHeight="1">
      <c r="B253" s="99">
        <v>3310</v>
      </c>
      <c r="C253" s="100" t="s">
        <v>1607</v>
      </c>
      <c r="D253" s="84" t="s">
        <v>655</v>
      </c>
      <c r="E253" s="101" t="s">
        <v>1608</v>
      </c>
      <c r="F253" s="84" t="s">
        <v>1608</v>
      </c>
      <c r="G253" s="101" t="s">
        <v>1609</v>
      </c>
      <c r="H253" s="85" t="s">
        <v>1610</v>
      </c>
      <c r="I253" s="99" t="s">
        <v>1524</v>
      </c>
      <c r="J253" s="85" t="s">
        <v>323</v>
      </c>
    </row>
    <row r="254" spans="2:10" s="93" customFormat="1" ht="24" customHeight="1">
      <c r="B254" s="99">
        <v>4507</v>
      </c>
      <c r="C254" s="100" t="s">
        <v>1611</v>
      </c>
      <c r="D254" s="84" t="s">
        <v>1612</v>
      </c>
      <c r="E254" s="101" t="s">
        <v>1556</v>
      </c>
      <c r="F254" s="84" t="s">
        <v>1613</v>
      </c>
      <c r="G254" s="101" t="s">
        <v>1614</v>
      </c>
      <c r="H254" s="85" t="s">
        <v>1615</v>
      </c>
      <c r="I254" s="99" t="s">
        <v>1524</v>
      </c>
      <c r="J254" s="85" t="s">
        <v>323</v>
      </c>
    </row>
    <row r="255" spans="2:10" s="93" customFormat="1" ht="24" customHeight="1">
      <c r="B255" s="99">
        <v>5740</v>
      </c>
      <c r="C255" s="100" t="s">
        <v>1616</v>
      </c>
      <c r="D255" s="111" t="s">
        <v>1216</v>
      </c>
      <c r="E255" s="101" t="s">
        <v>1617</v>
      </c>
      <c r="F255" s="111" t="s">
        <v>1618</v>
      </c>
      <c r="G255" s="101" t="s">
        <v>1619</v>
      </c>
      <c r="H255" s="112" t="s">
        <v>1615</v>
      </c>
      <c r="I255" s="99" t="s">
        <v>1524</v>
      </c>
      <c r="J255" s="112" t="s">
        <v>323</v>
      </c>
    </row>
    <row r="256" spans="2:10" s="93" customFormat="1" ht="24" customHeight="1">
      <c r="B256" s="99">
        <v>5892</v>
      </c>
      <c r="C256" s="100" t="s">
        <v>1620</v>
      </c>
      <c r="D256" s="84" t="s">
        <v>655</v>
      </c>
      <c r="E256" s="101" t="s">
        <v>1621</v>
      </c>
      <c r="F256" s="111" t="s">
        <v>1622</v>
      </c>
      <c r="G256" s="101" t="s">
        <v>1623</v>
      </c>
      <c r="H256" s="112" t="s">
        <v>1615</v>
      </c>
      <c r="I256" s="99" t="s">
        <v>1524</v>
      </c>
      <c r="J256" s="112" t="s">
        <v>323</v>
      </c>
    </row>
    <row r="257" spans="2:10" s="93" customFormat="1" ht="24" customHeight="1">
      <c r="B257" s="99">
        <v>5891</v>
      </c>
      <c r="C257" s="100" t="s">
        <v>1301</v>
      </c>
      <c r="D257" s="111" t="s">
        <v>643</v>
      </c>
      <c r="E257" s="101" t="s">
        <v>1624</v>
      </c>
      <c r="F257" s="111" t="s">
        <v>1625</v>
      </c>
      <c r="G257" s="101" t="s">
        <v>1623</v>
      </c>
      <c r="H257" s="112" t="s">
        <v>1615</v>
      </c>
      <c r="I257" s="99" t="s">
        <v>1524</v>
      </c>
      <c r="J257" s="112" t="s">
        <v>323</v>
      </c>
    </row>
    <row r="258" spans="2:10" s="93" customFormat="1" ht="24" customHeight="1">
      <c r="B258" s="99">
        <v>2830</v>
      </c>
      <c r="C258" s="100" t="s">
        <v>1626</v>
      </c>
      <c r="D258" s="84" t="s">
        <v>655</v>
      </c>
      <c r="E258" s="101" t="s">
        <v>1627</v>
      </c>
      <c r="F258" s="84"/>
      <c r="G258" s="101" t="s">
        <v>1628</v>
      </c>
      <c r="H258" s="85" t="s">
        <v>1629</v>
      </c>
      <c r="I258" s="99" t="s">
        <v>1629</v>
      </c>
      <c r="J258" s="85" t="s">
        <v>323</v>
      </c>
    </row>
    <row r="259" spans="2:10" s="93" customFormat="1" ht="24" customHeight="1">
      <c r="B259" s="99">
        <v>3220</v>
      </c>
      <c r="C259" s="100" t="s">
        <v>1630</v>
      </c>
      <c r="D259" s="84" t="s">
        <v>682</v>
      </c>
      <c r="E259" s="101" t="s">
        <v>1631</v>
      </c>
      <c r="F259" s="84" t="s">
        <v>1632</v>
      </c>
      <c r="G259" s="101" t="s">
        <v>1633</v>
      </c>
      <c r="H259" s="85" t="s">
        <v>1062</v>
      </c>
      <c r="I259" s="99" t="s">
        <v>1062</v>
      </c>
      <c r="J259" s="85" t="s">
        <v>323</v>
      </c>
    </row>
    <row r="260" spans="2:10" s="93" customFormat="1" ht="24" customHeight="1">
      <c r="B260" s="99">
        <v>2073</v>
      </c>
      <c r="C260" s="100" t="s">
        <v>1634</v>
      </c>
      <c r="D260" s="84" t="s">
        <v>655</v>
      </c>
      <c r="E260" s="101" t="s">
        <v>1635</v>
      </c>
      <c r="F260" s="84" t="s">
        <v>1636</v>
      </c>
      <c r="G260" s="101" t="s">
        <v>1637</v>
      </c>
      <c r="H260" s="85" t="s">
        <v>1062</v>
      </c>
      <c r="I260" s="99" t="s">
        <v>1062</v>
      </c>
      <c r="J260" s="85" t="s">
        <v>323</v>
      </c>
    </row>
    <row r="261" spans="2:10" s="93" customFormat="1" ht="24" customHeight="1">
      <c r="B261" s="99">
        <v>2156</v>
      </c>
      <c r="C261" s="100" t="s">
        <v>1638</v>
      </c>
      <c r="D261" s="84" t="s">
        <v>643</v>
      </c>
      <c r="E261" s="101" t="s">
        <v>1639</v>
      </c>
      <c r="F261" s="84"/>
      <c r="G261" s="101" t="s">
        <v>1640</v>
      </c>
      <c r="H261" s="85" t="s">
        <v>1062</v>
      </c>
      <c r="I261" s="99" t="s">
        <v>1062</v>
      </c>
      <c r="J261" s="85" t="s">
        <v>323</v>
      </c>
    </row>
    <row r="262" spans="2:10" s="93" customFormat="1" ht="24" customHeight="1">
      <c r="B262" s="99">
        <v>2990</v>
      </c>
      <c r="C262" s="100" t="s">
        <v>1641</v>
      </c>
      <c r="D262" s="84" t="s">
        <v>655</v>
      </c>
      <c r="E262" s="101" t="s">
        <v>1642</v>
      </c>
      <c r="F262" s="84" t="s">
        <v>1643</v>
      </c>
      <c r="G262" s="101" t="s">
        <v>1644</v>
      </c>
      <c r="H262" s="85" t="s">
        <v>1062</v>
      </c>
      <c r="I262" s="99" t="s">
        <v>1062</v>
      </c>
      <c r="J262" s="85" t="s">
        <v>323</v>
      </c>
    </row>
    <row r="263" spans="2:10" s="93" customFormat="1" ht="24" customHeight="1">
      <c r="B263" s="99">
        <v>3178</v>
      </c>
      <c r="C263" s="100" t="s">
        <v>1645</v>
      </c>
      <c r="D263" s="84" t="s">
        <v>1646</v>
      </c>
      <c r="E263" s="101" t="s">
        <v>1647</v>
      </c>
      <c r="F263" s="84" t="s">
        <v>1648</v>
      </c>
      <c r="G263" s="101" t="s">
        <v>1649</v>
      </c>
      <c r="H263" s="85" t="s">
        <v>1062</v>
      </c>
      <c r="I263" s="99" t="s">
        <v>1062</v>
      </c>
      <c r="J263" s="85" t="s">
        <v>323</v>
      </c>
    </row>
    <row r="264" spans="2:10" s="93" customFormat="1" ht="24" customHeight="1">
      <c r="B264" s="99">
        <v>2073</v>
      </c>
      <c r="C264" s="100" t="s">
        <v>1650</v>
      </c>
      <c r="D264" s="84" t="s">
        <v>655</v>
      </c>
      <c r="E264" s="101" t="s">
        <v>1635</v>
      </c>
      <c r="F264" s="84" t="s">
        <v>1651</v>
      </c>
      <c r="G264" s="101" t="s">
        <v>1637</v>
      </c>
      <c r="H264" s="85" t="s">
        <v>1062</v>
      </c>
      <c r="I264" s="99" t="s">
        <v>1062</v>
      </c>
      <c r="J264" s="85" t="s">
        <v>323</v>
      </c>
    </row>
    <row r="265" spans="2:10" s="93" customFormat="1" ht="24" customHeight="1">
      <c r="B265" s="99">
        <v>2203</v>
      </c>
      <c r="C265" s="100" t="s">
        <v>1652</v>
      </c>
      <c r="D265" s="84" t="s">
        <v>643</v>
      </c>
      <c r="E265" s="101" t="s">
        <v>1653</v>
      </c>
      <c r="F265" s="84" t="s">
        <v>1654</v>
      </c>
      <c r="G265" s="101" t="s">
        <v>1655</v>
      </c>
      <c r="H265" s="85" t="s">
        <v>1062</v>
      </c>
      <c r="I265" s="99" t="s">
        <v>1062</v>
      </c>
      <c r="J265" s="85" t="s">
        <v>323</v>
      </c>
    </row>
    <row r="266" spans="2:10" s="93" customFormat="1" ht="24" customHeight="1">
      <c r="B266" s="99">
        <v>2101</v>
      </c>
      <c r="C266" s="100" t="s">
        <v>1656</v>
      </c>
      <c r="D266" s="84" t="s">
        <v>655</v>
      </c>
      <c r="E266" s="101" t="s">
        <v>1657</v>
      </c>
      <c r="F266" s="84" t="s">
        <v>1658</v>
      </c>
      <c r="G266" s="101" t="s">
        <v>1659</v>
      </c>
      <c r="H266" s="85" t="s">
        <v>1062</v>
      </c>
      <c r="I266" s="99" t="s">
        <v>1062</v>
      </c>
      <c r="J266" s="85" t="s">
        <v>323</v>
      </c>
    </row>
    <row r="267" spans="2:10" s="93" customFormat="1" ht="24" customHeight="1">
      <c r="B267" s="99">
        <v>2195</v>
      </c>
      <c r="C267" s="100" t="s">
        <v>1660</v>
      </c>
      <c r="D267" s="84" t="s">
        <v>655</v>
      </c>
      <c r="E267" s="101" t="s">
        <v>1661</v>
      </c>
      <c r="F267" s="84"/>
      <c r="G267" s="101" t="s">
        <v>1662</v>
      </c>
      <c r="H267" s="85" t="s">
        <v>1062</v>
      </c>
      <c r="I267" s="99" t="s">
        <v>1062</v>
      </c>
      <c r="J267" s="85" t="s">
        <v>323</v>
      </c>
    </row>
    <row r="268" spans="2:10" s="93" customFormat="1" ht="24" customHeight="1">
      <c r="B268" s="99">
        <v>3034</v>
      </c>
      <c r="C268" s="100" t="s">
        <v>1663</v>
      </c>
      <c r="D268" s="84" t="s">
        <v>672</v>
      </c>
      <c r="E268" s="101" t="s">
        <v>1664</v>
      </c>
      <c r="F268" s="84"/>
      <c r="G268" s="101" t="s">
        <v>1665</v>
      </c>
      <c r="H268" s="85" t="s">
        <v>1062</v>
      </c>
      <c r="I268" s="99" t="s">
        <v>1062</v>
      </c>
      <c r="J268" s="85" t="s">
        <v>323</v>
      </c>
    </row>
    <row r="269" spans="2:10" s="93" customFormat="1" ht="24" customHeight="1">
      <c r="B269" s="99">
        <v>2112</v>
      </c>
      <c r="C269" s="100" t="s">
        <v>1666</v>
      </c>
      <c r="D269" s="84" t="s">
        <v>655</v>
      </c>
      <c r="E269" s="101" t="s">
        <v>1667</v>
      </c>
      <c r="F269" s="84" t="s">
        <v>1668</v>
      </c>
      <c r="G269" s="101" t="s">
        <v>1669</v>
      </c>
      <c r="H269" s="85" t="s">
        <v>1062</v>
      </c>
      <c r="I269" s="99" t="s">
        <v>1062</v>
      </c>
      <c r="J269" s="85" t="s">
        <v>323</v>
      </c>
    </row>
    <row r="270" spans="2:10" s="93" customFormat="1" ht="24" customHeight="1">
      <c r="B270" s="99">
        <v>1992</v>
      </c>
      <c r="C270" s="100" t="s">
        <v>1670</v>
      </c>
      <c r="D270" s="84" t="s">
        <v>1392</v>
      </c>
      <c r="E270" s="101" t="s">
        <v>1671</v>
      </c>
      <c r="F270" s="84" t="s">
        <v>1672</v>
      </c>
      <c r="G270" s="101" t="s">
        <v>1673</v>
      </c>
      <c r="H270" s="85" t="s">
        <v>1062</v>
      </c>
      <c r="I270" s="99" t="s">
        <v>1062</v>
      </c>
      <c r="J270" s="85" t="s">
        <v>323</v>
      </c>
    </row>
    <row r="271" spans="2:10" s="93" customFormat="1" ht="24" customHeight="1">
      <c r="B271" s="99">
        <v>1992</v>
      </c>
      <c r="C271" s="100" t="s">
        <v>1674</v>
      </c>
      <c r="D271" s="84" t="s">
        <v>890</v>
      </c>
      <c r="E271" s="101" t="s">
        <v>1671</v>
      </c>
      <c r="F271" s="84" t="s">
        <v>1675</v>
      </c>
      <c r="G271" s="101" t="s">
        <v>1673</v>
      </c>
      <c r="H271" s="85" t="s">
        <v>1062</v>
      </c>
      <c r="I271" s="99" t="s">
        <v>1062</v>
      </c>
      <c r="J271" s="85" t="s">
        <v>323</v>
      </c>
    </row>
    <row r="272" spans="2:10" s="93" customFormat="1" ht="24" customHeight="1">
      <c r="B272" s="99">
        <v>2073</v>
      </c>
      <c r="C272" s="100" t="s">
        <v>1676</v>
      </c>
      <c r="D272" s="84" t="s">
        <v>655</v>
      </c>
      <c r="E272" s="101" t="s">
        <v>1635</v>
      </c>
      <c r="F272" s="84" t="s">
        <v>1636</v>
      </c>
      <c r="G272" s="101" t="s">
        <v>1637</v>
      </c>
      <c r="H272" s="85" t="s">
        <v>1062</v>
      </c>
      <c r="I272" s="99" t="s">
        <v>1062</v>
      </c>
      <c r="J272" s="85" t="s">
        <v>323</v>
      </c>
    </row>
    <row r="273" spans="2:10" s="93" customFormat="1" ht="24" customHeight="1">
      <c r="B273" s="99">
        <v>4778</v>
      </c>
      <c r="C273" s="100" t="s">
        <v>1677</v>
      </c>
      <c r="D273" s="84" t="s">
        <v>655</v>
      </c>
      <c r="E273" s="101" t="s">
        <v>1678</v>
      </c>
      <c r="F273" s="84" t="s">
        <v>1679</v>
      </c>
      <c r="G273" s="101" t="s">
        <v>1680</v>
      </c>
      <c r="H273" s="85" t="s">
        <v>1062</v>
      </c>
      <c r="I273" s="99" t="s">
        <v>1062</v>
      </c>
      <c r="J273" s="85" t="s">
        <v>323</v>
      </c>
    </row>
    <row r="274" spans="2:10" s="93" customFormat="1" ht="24" customHeight="1">
      <c r="B274" s="99">
        <v>4110</v>
      </c>
      <c r="C274" s="100" t="s">
        <v>1681</v>
      </c>
      <c r="D274" s="84" t="s">
        <v>672</v>
      </c>
      <c r="E274" s="101" t="s">
        <v>1682</v>
      </c>
      <c r="F274" s="84" t="s">
        <v>1683</v>
      </c>
      <c r="G274" s="122" t="s">
        <v>1684</v>
      </c>
      <c r="H274" s="85" t="s">
        <v>1062</v>
      </c>
      <c r="I274" s="99" t="s">
        <v>1062</v>
      </c>
      <c r="J274" s="108" t="s">
        <v>323</v>
      </c>
    </row>
    <row r="275" spans="2:10" s="93" customFormat="1" ht="24" customHeight="1">
      <c r="B275" s="99">
        <v>4779</v>
      </c>
      <c r="C275" s="100" t="s">
        <v>1685</v>
      </c>
      <c r="D275" s="84" t="s">
        <v>655</v>
      </c>
      <c r="E275" s="101" t="s">
        <v>1678</v>
      </c>
      <c r="F275" s="84" t="s">
        <v>1686</v>
      </c>
      <c r="G275" s="101" t="s">
        <v>1680</v>
      </c>
      <c r="H275" s="85" t="s">
        <v>1062</v>
      </c>
      <c r="I275" s="99" t="s">
        <v>1062</v>
      </c>
      <c r="J275" s="85" t="s">
        <v>323</v>
      </c>
    </row>
    <row r="276" spans="2:10" s="93" customFormat="1" ht="24" customHeight="1">
      <c r="B276" s="103">
        <v>4083</v>
      </c>
      <c r="C276" s="104" t="s">
        <v>1687</v>
      </c>
      <c r="D276" s="84" t="s">
        <v>643</v>
      </c>
      <c r="E276" s="120" t="s">
        <v>1688</v>
      </c>
      <c r="F276" s="105"/>
      <c r="G276" s="106" t="s">
        <v>1689</v>
      </c>
      <c r="H276" s="108" t="s">
        <v>1062</v>
      </c>
      <c r="I276" s="109" t="s">
        <v>1062</v>
      </c>
      <c r="J276" s="108" t="s">
        <v>323</v>
      </c>
    </row>
    <row r="277" spans="2:10" s="93" customFormat="1" ht="24" customHeight="1">
      <c r="B277" s="103">
        <v>4014</v>
      </c>
      <c r="C277" s="104" t="s">
        <v>1690</v>
      </c>
      <c r="D277" s="84" t="s">
        <v>655</v>
      </c>
      <c r="E277" s="120" t="s">
        <v>1691</v>
      </c>
      <c r="F277" s="105"/>
      <c r="G277" s="106" t="s">
        <v>1692</v>
      </c>
      <c r="H277" s="108" t="s">
        <v>1062</v>
      </c>
      <c r="I277" s="109" t="s">
        <v>1062</v>
      </c>
      <c r="J277" s="108" t="s">
        <v>323</v>
      </c>
    </row>
    <row r="278" spans="2:10" s="93" customFormat="1" ht="24" customHeight="1">
      <c r="B278" s="99">
        <v>5451</v>
      </c>
      <c r="C278" s="100" t="s">
        <v>1693</v>
      </c>
      <c r="D278" s="84" t="s">
        <v>643</v>
      </c>
      <c r="E278" s="101" t="s">
        <v>1694</v>
      </c>
      <c r="F278" s="84" t="s">
        <v>1695</v>
      </c>
      <c r="G278" s="101" t="s">
        <v>1696</v>
      </c>
      <c r="H278" s="85" t="s">
        <v>1062</v>
      </c>
      <c r="I278" s="99" t="s">
        <v>1062</v>
      </c>
      <c r="J278" s="85" t="s">
        <v>323</v>
      </c>
    </row>
    <row r="279" spans="2:10" s="93" customFormat="1" ht="24" customHeight="1">
      <c r="B279" s="99">
        <v>5090</v>
      </c>
      <c r="C279" s="100" t="s">
        <v>1697</v>
      </c>
      <c r="D279" s="84" t="s">
        <v>1646</v>
      </c>
      <c r="E279" s="101" t="s">
        <v>1698</v>
      </c>
      <c r="F279" s="84" t="s">
        <v>1699</v>
      </c>
      <c r="G279" s="101" t="s">
        <v>1700</v>
      </c>
      <c r="H279" s="85" t="s">
        <v>1062</v>
      </c>
      <c r="I279" s="99" t="s">
        <v>1062</v>
      </c>
      <c r="J279" s="85" t="s">
        <v>323</v>
      </c>
    </row>
    <row r="280" spans="2:10" s="93" customFormat="1" ht="24" customHeight="1">
      <c r="B280" s="99">
        <v>5087</v>
      </c>
      <c r="C280" s="100" t="s">
        <v>1701</v>
      </c>
      <c r="D280" s="84" t="s">
        <v>1646</v>
      </c>
      <c r="E280" s="101" t="s">
        <v>1698</v>
      </c>
      <c r="F280" s="84" t="s">
        <v>1698</v>
      </c>
      <c r="G280" s="101" t="s">
        <v>1702</v>
      </c>
      <c r="H280" s="85" t="s">
        <v>1062</v>
      </c>
      <c r="I280" s="99" t="s">
        <v>1062</v>
      </c>
      <c r="J280" s="85" t="s">
        <v>323</v>
      </c>
    </row>
    <row r="281" spans="2:10" s="93" customFormat="1" ht="24" customHeight="1">
      <c r="B281" s="103">
        <v>4076</v>
      </c>
      <c r="C281" s="104" t="s">
        <v>1703</v>
      </c>
      <c r="D281" s="84" t="s">
        <v>643</v>
      </c>
      <c r="E281" s="106" t="s">
        <v>1704</v>
      </c>
      <c r="F281" s="107"/>
      <c r="G281" s="106" t="s">
        <v>1705</v>
      </c>
      <c r="H281" s="108" t="s">
        <v>1062</v>
      </c>
      <c r="I281" s="109" t="s">
        <v>1062</v>
      </c>
      <c r="J281" s="108" t="s">
        <v>323</v>
      </c>
    </row>
    <row r="282" spans="2:10" s="93" customFormat="1" ht="24" customHeight="1">
      <c r="B282" s="99">
        <v>5736</v>
      </c>
      <c r="C282" s="100" t="s">
        <v>1706</v>
      </c>
      <c r="D282" s="111" t="s">
        <v>655</v>
      </c>
      <c r="E282" s="101" t="s">
        <v>1707</v>
      </c>
      <c r="F282" s="111" t="s">
        <v>1708</v>
      </c>
      <c r="G282" s="101" t="s">
        <v>1709</v>
      </c>
      <c r="H282" s="112" t="s">
        <v>1062</v>
      </c>
      <c r="I282" s="99" t="s">
        <v>1062</v>
      </c>
      <c r="J282" s="112" t="s">
        <v>323</v>
      </c>
    </row>
    <row r="283" spans="2:10" s="93" customFormat="1" ht="24" customHeight="1">
      <c r="B283" s="99">
        <v>2111</v>
      </c>
      <c r="C283" s="100" t="s">
        <v>1710</v>
      </c>
      <c r="D283" s="84" t="s">
        <v>655</v>
      </c>
      <c r="E283" s="101" t="s">
        <v>1711</v>
      </c>
      <c r="F283" s="84" t="s">
        <v>1712</v>
      </c>
      <c r="G283" s="101" t="s">
        <v>1713</v>
      </c>
      <c r="H283" s="85" t="s">
        <v>1714</v>
      </c>
      <c r="I283" s="99" t="s">
        <v>1715</v>
      </c>
      <c r="J283" s="85" t="s">
        <v>323</v>
      </c>
    </row>
    <row r="284" spans="2:10" s="93" customFormat="1" ht="24" customHeight="1">
      <c r="B284" s="99">
        <v>2093</v>
      </c>
      <c r="C284" s="100" t="s">
        <v>1716</v>
      </c>
      <c r="D284" s="84" t="s">
        <v>643</v>
      </c>
      <c r="E284" s="101" t="s">
        <v>1717</v>
      </c>
      <c r="F284" s="84" t="s">
        <v>1718</v>
      </c>
      <c r="G284" s="101" t="s">
        <v>1719</v>
      </c>
      <c r="H284" s="85" t="s">
        <v>1714</v>
      </c>
      <c r="I284" s="99" t="s">
        <v>1715</v>
      </c>
      <c r="J284" s="85" t="s">
        <v>323</v>
      </c>
    </row>
    <row r="285" spans="2:10" s="93" customFormat="1" ht="24" customHeight="1">
      <c r="B285" s="99">
        <v>4055</v>
      </c>
      <c r="C285" s="100" t="s">
        <v>1720</v>
      </c>
      <c r="D285" s="84" t="s">
        <v>672</v>
      </c>
      <c r="E285" s="101" t="s">
        <v>1721</v>
      </c>
      <c r="F285" s="84" t="s">
        <v>1722</v>
      </c>
      <c r="G285" s="101" t="s">
        <v>1723</v>
      </c>
      <c r="H285" s="99" t="s">
        <v>1715</v>
      </c>
      <c r="I285" s="99" t="s">
        <v>1715</v>
      </c>
      <c r="J285" s="85" t="s">
        <v>323</v>
      </c>
    </row>
    <row r="286" spans="2:10" s="93" customFormat="1" ht="24" customHeight="1">
      <c r="B286" s="103">
        <v>4063</v>
      </c>
      <c r="C286" s="104" t="s">
        <v>1724</v>
      </c>
      <c r="D286" s="84" t="s">
        <v>672</v>
      </c>
      <c r="E286" s="106" t="s">
        <v>1725</v>
      </c>
      <c r="F286" s="107" t="s">
        <v>1726</v>
      </c>
      <c r="G286" s="106" t="s">
        <v>1727</v>
      </c>
      <c r="H286" s="108" t="s">
        <v>1715</v>
      </c>
      <c r="I286" s="109" t="s">
        <v>1715</v>
      </c>
      <c r="J286" s="108" t="s">
        <v>323</v>
      </c>
    </row>
    <row r="287" spans="2:10" s="93" customFormat="1" ht="24" customHeight="1">
      <c r="B287" s="103">
        <v>3979</v>
      </c>
      <c r="C287" s="104" t="s">
        <v>1728</v>
      </c>
      <c r="D287" s="105" t="s">
        <v>1729</v>
      </c>
      <c r="E287" s="106" t="s">
        <v>1730</v>
      </c>
      <c r="F287" s="107" t="s">
        <v>1730</v>
      </c>
      <c r="G287" s="106" t="s">
        <v>1731</v>
      </c>
      <c r="H287" s="108" t="s">
        <v>1715</v>
      </c>
      <c r="I287" s="109" t="s">
        <v>1715</v>
      </c>
      <c r="J287" s="108" t="s">
        <v>323</v>
      </c>
    </row>
    <row r="288" spans="2:10" s="93" customFormat="1" ht="24" customHeight="1">
      <c r="B288" s="99">
        <v>2137</v>
      </c>
      <c r="C288" s="100" t="s">
        <v>1732</v>
      </c>
      <c r="D288" s="84" t="s">
        <v>643</v>
      </c>
      <c r="E288" s="101" t="s">
        <v>1733</v>
      </c>
      <c r="F288" s="84" t="s">
        <v>1734</v>
      </c>
      <c r="G288" s="101" t="s">
        <v>1735</v>
      </c>
      <c r="H288" s="85" t="s">
        <v>1715</v>
      </c>
      <c r="I288" s="99" t="s">
        <v>1715</v>
      </c>
      <c r="J288" s="85" t="s">
        <v>323</v>
      </c>
    </row>
    <row r="289" spans="2:10" s="93" customFormat="1" ht="24" customHeight="1">
      <c r="B289" s="99">
        <v>2199</v>
      </c>
      <c r="C289" s="100" t="s">
        <v>1736</v>
      </c>
      <c r="D289" s="84" t="s">
        <v>643</v>
      </c>
      <c r="E289" s="101" t="s">
        <v>1737</v>
      </c>
      <c r="F289" s="84" t="s">
        <v>1738</v>
      </c>
      <c r="G289" s="101" t="s">
        <v>1739</v>
      </c>
      <c r="H289" s="85" t="s">
        <v>1715</v>
      </c>
      <c r="I289" s="99" t="s">
        <v>1715</v>
      </c>
      <c r="J289" s="85" t="s">
        <v>323</v>
      </c>
    </row>
    <row r="290" spans="2:10" s="93" customFormat="1" ht="24" customHeight="1">
      <c r="B290" s="99">
        <v>2350</v>
      </c>
      <c r="C290" s="100" t="s">
        <v>1740</v>
      </c>
      <c r="D290" s="84" t="s">
        <v>643</v>
      </c>
      <c r="E290" s="101" t="s">
        <v>1741</v>
      </c>
      <c r="F290" s="84" t="s">
        <v>1742</v>
      </c>
      <c r="G290" s="101" t="s">
        <v>1743</v>
      </c>
      <c r="H290" s="85" t="s">
        <v>1715</v>
      </c>
      <c r="I290" s="99" t="s">
        <v>1715</v>
      </c>
      <c r="J290" s="85" t="s">
        <v>323</v>
      </c>
    </row>
    <row r="291" spans="2:10" s="93" customFormat="1" ht="24" customHeight="1">
      <c r="B291" s="99">
        <v>2104</v>
      </c>
      <c r="C291" s="100" t="s">
        <v>1744</v>
      </c>
      <c r="D291" s="84" t="s">
        <v>643</v>
      </c>
      <c r="E291" s="101" t="s">
        <v>1745</v>
      </c>
      <c r="F291" s="84" t="s">
        <v>1746</v>
      </c>
      <c r="G291" s="101" t="s">
        <v>1747</v>
      </c>
      <c r="H291" s="85" t="s">
        <v>1715</v>
      </c>
      <c r="I291" s="99" t="s">
        <v>1715</v>
      </c>
      <c r="J291" s="85" t="s">
        <v>323</v>
      </c>
    </row>
    <row r="292" spans="2:10" s="93" customFormat="1" ht="24" customHeight="1">
      <c r="B292" s="99">
        <v>5804</v>
      </c>
      <c r="C292" s="100" t="s">
        <v>1748</v>
      </c>
      <c r="D292" s="84" t="s">
        <v>655</v>
      </c>
      <c r="E292" s="101" t="s">
        <v>1749</v>
      </c>
      <c r="F292" s="111"/>
      <c r="G292" s="101" t="s">
        <v>1750</v>
      </c>
      <c r="H292" s="85" t="s">
        <v>1715</v>
      </c>
      <c r="I292" s="99" t="s">
        <v>1715</v>
      </c>
      <c r="J292" s="85" t="s">
        <v>323</v>
      </c>
    </row>
    <row r="293" spans="2:10" s="93" customFormat="1" ht="24" customHeight="1">
      <c r="B293" s="99">
        <v>2079</v>
      </c>
      <c r="C293" s="100" t="s">
        <v>1751</v>
      </c>
      <c r="D293" s="84" t="s">
        <v>643</v>
      </c>
      <c r="E293" s="101" t="s">
        <v>1752</v>
      </c>
      <c r="F293" s="84" t="s">
        <v>1753</v>
      </c>
      <c r="G293" s="101" t="s">
        <v>1754</v>
      </c>
      <c r="H293" s="85" t="s">
        <v>1715</v>
      </c>
      <c r="I293" s="99" t="s">
        <v>1715</v>
      </c>
      <c r="J293" s="85" t="s">
        <v>323</v>
      </c>
    </row>
    <row r="294" spans="2:10" s="93" customFormat="1" ht="24" customHeight="1">
      <c r="B294" s="99">
        <v>2372</v>
      </c>
      <c r="C294" s="100" t="s">
        <v>1755</v>
      </c>
      <c r="D294" s="84" t="s">
        <v>643</v>
      </c>
      <c r="E294" s="101" t="s">
        <v>1756</v>
      </c>
      <c r="F294" s="84" t="s">
        <v>1757</v>
      </c>
      <c r="G294" s="101" t="s">
        <v>1758</v>
      </c>
      <c r="H294" s="85" t="s">
        <v>1715</v>
      </c>
      <c r="I294" s="99" t="s">
        <v>1715</v>
      </c>
      <c r="J294" s="85" t="s">
        <v>323</v>
      </c>
    </row>
    <row r="295" spans="2:10" s="93" customFormat="1" ht="24" customHeight="1">
      <c r="B295" s="99">
        <v>2209</v>
      </c>
      <c r="C295" s="100" t="s">
        <v>1759</v>
      </c>
      <c r="D295" s="84" t="s">
        <v>682</v>
      </c>
      <c r="E295" s="101" t="s">
        <v>1760</v>
      </c>
      <c r="F295" s="84" t="s">
        <v>1761</v>
      </c>
      <c r="G295" s="101" t="s">
        <v>1762</v>
      </c>
      <c r="H295" s="85" t="s">
        <v>1715</v>
      </c>
      <c r="I295" s="99" t="s">
        <v>1715</v>
      </c>
      <c r="J295" s="85" t="s">
        <v>323</v>
      </c>
    </row>
    <row r="296" spans="2:10" s="93" customFormat="1" ht="24" customHeight="1">
      <c r="B296" s="103">
        <v>3965</v>
      </c>
      <c r="C296" s="104" t="s">
        <v>1763</v>
      </c>
      <c r="D296" s="84" t="s">
        <v>643</v>
      </c>
      <c r="E296" s="106" t="s">
        <v>1764</v>
      </c>
      <c r="F296" s="107" t="s">
        <v>1765</v>
      </c>
      <c r="G296" s="106" t="s">
        <v>1766</v>
      </c>
      <c r="H296" s="108" t="s">
        <v>1715</v>
      </c>
      <c r="I296" s="109" t="s">
        <v>1715</v>
      </c>
      <c r="J296" s="108" t="s">
        <v>323</v>
      </c>
    </row>
    <row r="297" spans="2:10" s="93" customFormat="1" ht="24" customHeight="1">
      <c r="B297" s="103">
        <v>4148</v>
      </c>
      <c r="C297" s="104" t="s">
        <v>1767</v>
      </c>
      <c r="D297" s="105" t="s">
        <v>650</v>
      </c>
      <c r="E297" s="106" t="s">
        <v>1768</v>
      </c>
      <c r="F297" s="107" t="s">
        <v>1768</v>
      </c>
      <c r="G297" s="106" t="s">
        <v>1769</v>
      </c>
      <c r="H297" s="108" t="s">
        <v>1715</v>
      </c>
      <c r="I297" s="109" t="s">
        <v>1715</v>
      </c>
      <c r="J297" s="108" t="s">
        <v>323</v>
      </c>
    </row>
    <row r="298" spans="2:10" s="93" customFormat="1" ht="24" customHeight="1">
      <c r="B298" s="99">
        <v>2143</v>
      </c>
      <c r="C298" s="100" t="s">
        <v>1770</v>
      </c>
      <c r="D298" s="84" t="s">
        <v>655</v>
      </c>
      <c r="E298" s="101" t="s">
        <v>1771</v>
      </c>
      <c r="F298" s="84" t="s">
        <v>1772</v>
      </c>
      <c r="G298" s="101" t="s">
        <v>1773</v>
      </c>
      <c r="H298" s="85" t="s">
        <v>1774</v>
      </c>
      <c r="I298" s="99" t="s">
        <v>1715</v>
      </c>
      <c r="J298" s="85" t="s">
        <v>323</v>
      </c>
    </row>
    <row r="299" spans="2:10" s="93" customFormat="1" ht="24" customHeight="1">
      <c r="B299" s="99">
        <v>5467</v>
      </c>
      <c r="C299" s="100" t="s">
        <v>1775</v>
      </c>
      <c r="D299" s="84" t="s">
        <v>672</v>
      </c>
      <c r="E299" s="101" t="s">
        <v>1776</v>
      </c>
      <c r="F299" s="84" t="s">
        <v>1777</v>
      </c>
      <c r="G299" s="101" t="s">
        <v>1778</v>
      </c>
      <c r="H299" s="85" t="s">
        <v>1774</v>
      </c>
      <c r="I299" s="99" t="s">
        <v>1715</v>
      </c>
      <c r="J299" s="85" t="s">
        <v>323</v>
      </c>
    </row>
    <row r="300" spans="2:10" s="93" customFormat="1" ht="24" customHeight="1">
      <c r="B300" s="103">
        <v>5086</v>
      </c>
      <c r="C300" s="104" t="s">
        <v>1779</v>
      </c>
      <c r="D300" s="84" t="s">
        <v>650</v>
      </c>
      <c r="E300" s="106" t="s">
        <v>1780</v>
      </c>
      <c r="F300" s="107" t="s">
        <v>1781</v>
      </c>
      <c r="G300" s="106" t="s">
        <v>1782</v>
      </c>
      <c r="H300" s="108" t="s">
        <v>1783</v>
      </c>
      <c r="I300" s="109" t="s">
        <v>1715</v>
      </c>
      <c r="J300" s="108" t="s">
        <v>323</v>
      </c>
    </row>
    <row r="301" spans="2:10" s="93" customFormat="1" ht="24" customHeight="1">
      <c r="B301" s="99">
        <v>3224</v>
      </c>
      <c r="C301" s="100" t="s">
        <v>1784</v>
      </c>
      <c r="D301" s="84" t="s">
        <v>1646</v>
      </c>
      <c r="E301" s="101" t="s">
        <v>1785</v>
      </c>
      <c r="F301" s="84" t="s">
        <v>1786</v>
      </c>
      <c r="G301" s="101" t="s">
        <v>1787</v>
      </c>
      <c r="H301" s="85" t="s">
        <v>1788</v>
      </c>
      <c r="I301" s="99" t="s">
        <v>1715</v>
      </c>
      <c r="J301" s="85" t="s">
        <v>323</v>
      </c>
    </row>
    <row r="302" spans="2:10" s="93" customFormat="1" ht="24" customHeight="1">
      <c r="B302" s="99">
        <v>2186</v>
      </c>
      <c r="C302" s="100" t="s">
        <v>1789</v>
      </c>
      <c r="D302" s="84" t="s">
        <v>677</v>
      </c>
      <c r="E302" s="101" t="s">
        <v>1790</v>
      </c>
      <c r="F302" s="84" t="s">
        <v>1791</v>
      </c>
      <c r="G302" s="101" t="s">
        <v>1792</v>
      </c>
      <c r="H302" s="85" t="s">
        <v>1788</v>
      </c>
      <c r="I302" s="99" t="s">
        <v>1715</v>
      </c>
      <c r="J302" s="85" t="s">
        <v>323</v>
      </c>
    </row>
    <row r="303" spans="2:10" s="93" customFormat="1" ht="24" customHeight="1">
      <c r="B303" s="99">
        <v>1948</v>
      </c>
      <c r="C303" s="100" t="s">
        <v>1793</v>
      </c>
      <c r="D303" s="84" t="s">
        <v>813</v>
      </c>
      <c r="E303" s="101" t="s">
        <v>1794</v>
      </c>
      <c r="F303" s="84" t="s">
        <v>1795</v>
      </c>
      <c r="G303" s="101" t="s">
        <v>1796</v>
      </c>
      <c r="H303" s="85" t="s">
        <v>1797</v>
      </c>
      <c r="I303" s="99" t="s">
        <v>1715</v>
      </c>
      <c r="J303" s="85" t="s">
        <v>323</v>
      </c>
    </row>
    <row r="304" spans="2:10" s="93" customFormat="1" ht="24" customHeight="1">
      <c r="B304" s="99">
        <v>1948</v>
      </c>
      <c r="C304" s="100" t="s">
        <v>1798</v>
      </c>
      <c r="D304" s="84" t="s">
        <v>643</v>
      </c>
      <c r="E304" s="101" t="s">
        <v>1794</v>
      </c>
      <c r="F304" s="84" t="s">
        <v>1799</v>
      </c>
      <c r="G304" s="101" t="s">
        <v>1796</v>
      </c>
      <c r="H304" s="85" t="s">
        <v>1797</v>
      </c>
      <c r="I304" s="99" t="s">
        <v>1715</v>
      </c>
      <c r="J304" s="85" t="s">
        <v>323</v>
      </c>
    </row>
    <row r="305" spans="2:10" s="93" customFormat="1" ht="24" customHeight="1">
      <c r="B305" s="99">
        <v>3099</v>
      </c>
      <c r="C305" s="100" t="s">
        <v>1800</v>
      </c>
      <c r="D305" s="84" t="s">
        <v>677</v>
      </c>
      <c r="E305" s="101" t="s">
        <v>1801</v>
      </c>
      <c r="F305" s="84" t="s">
        <v>1802</v>
      </c>
      <c r="G305" s="101" t="s">
        <v>1803</v>
      </c>
      <c r="H305" s="85" t="s">
        <v>1804</v>
      </c>
      <c r="I305" s="99" t="s">
        <v>1804</v>
      </c>
      <c r="J305" s="85" t="s">
        <v>323</v>
      </c>
    </row>
    <row r="306" spans="2:10" s="93" customFormat="1" ht="24" customHeight="1">
      <c r="B306" s="99">
        <v>2343</v>
      </c>
      <c r="C306" s="100" t="s">
        <v>1805</v>
      </c>
      <c r="D306" s="84" t="s">
        <v>655</v>
      </c>
      <c r="E306" s="101" t="s">
        <v>1806</v>
      </c>
      <c r="F306" s="84" t="s">
        <v>1807</v>
      </c>
      <c r="G306" s="101" t="s">
        <v>1808</v>
      </c>
      <c r="H306" s="85" t="s">
        <v>1804</v>
      </c>
      <c r="I306" s="99" t="s">
        <v>1804</v>
      </c>
      <c r="J306" s="85" t="s">
        <v>323</v>
      </c>
    </row>
    <row r="307" spans="2:10" s="93" customFormat="1" ht="24" customHeight="1">
      <c r="B307" s="99">
        <v>4706</v>
      </c>
      <c r="C307" s="100" t="s">
        <v>1809</v>
      </c>
      <c r="D307" s="84" t="s">
        <v>1216</v>
      </c>
      <c r="E307" s="101" t="s">
        <v>1810</v>
      </c>
      <c r="F307" s="84" t="s">
        <v>1811</v>
      </c>
      <c r="G307" s="101" t="s">
        <v>1812</v>
      </c>
      <c r="H307" s="85" t="s">
        <v>1804</v>
      </c>
      <c r="I307" s="99" t="s">
        <v>1804</v>
      </c>
      <c r="J307" s="85" t="s">
        <v>323</v>
      </c>
    </row>
    <row r="308" spans="2:10" s="93" customFormat="1" ht="24" customHeight="1">
      <c r="B308" s="123">
        <v>2573</v>
      </c>
      <c r="C308" s="124" t="s">
        <v>1813</v>
      </c>
      <c r="D308" s="125" t="s">
        <v>682</v>
      </c>
      <c r="E308" s="69" t="s">
        <v>1814</v>
      </c>
      <c r="F308" s="125" t="s">
        <v>1815</v>
      </c>
      <c r="G308" s="69" t="s">
        <v>1816</v>
      </c>
      <c r="H308" s="126" t="s">
        <v>1817</v>
      </c>
      <c r="I308" s="123" t="s">
        <v>1817</v>
      </c>
      <c r="J308" s="126" t="s">
        <v>323</v>
      </c>
    </row>
    <row r="309" spans="2:10" s="93" customFormat="1" ht="24" customHeight="1">
      <c r="B309" s="99">
        <v>3030</v>
      </c>
      <c r="C309" s="100" t="s">
        <v>1818</v>
      </c>
      <c r="D309" s="84" t="s">
        <v>821</v>
      </c>
      <c r="E309" s="101" t="s">
        <v>1819</v>
      </c>
      <c r="F309" s="84"/>
      <c r="G309" s="101" t="s">
        <v>1820</v>
      </c>
      <c r="H309" s="85" t="s">
        <v>1821</v>
      </c>
      <c r="I309" s="99" t="s">
        <v>1822</v>
      </c>
      <c r="J309" s="85" t="s">
        <v>323</v>
      </c>
    </row>
    <row r="310" spans="2:10" s="93" customFormat="1" ht="24" customHeight="1">
      <c r="B310" s="113">
        <v>4054</v>
      </c>
      <c r="C310" s="114" t="s">
        <v>1823</v>
      </c>
      <c r="D310" s="107" t="s">
        <v>659</v>
      </c>
      <c r="E310" s="106" t="s">
        <v>1824</v>
      </c>
      <c r="F310" s="107" t="s">
        <v>1825</v>
      </c>
      <c r="G310" s="106" t="s">
        <v>1826</v>
      </c>
      <c r="H310" s="108" t="s">
        <v>1822</v>
      </c>
      <c r="I310" s="109" t="s">
        <v>1822</v>
      </c>
      <c r="J310" s="108" t="s">
        <v>323</v>
      </c>
    </row>
    <row r="311" spans="2:10" s="93" customFormat="1" ht="24" customHeight="1">
      <c r="B311" s="103">
        <v>4052</v>
      </c>
      <c r="C311" s="104" t="s">
        <v>1827</v>
      </c>
      <c r="D311" s="105" t="s">
        <v>813</v>
      </c>
      <c r="E311" s="106" t="s">
        <v>1828</v>
      </c>
      <c r="F311" s="107"/>
      <c r="G311" s="106" t="s">
        <v>1829</v>
      </c>
      <c r="H311" s="108" t="s">
        <v>1822</v>
      </c>
      <c r="I311" s="109" t="s">
        <v>1822</v>
      </c>
      <c r="J311" s="108" t="s">
        <v>323</v>
      </c>
    </row>
    <row r="312" spans="2:10" s="93" customFormat="1" ht="24" customHeight="1">
      <c r="B312" s="99">
        <v>3734</v>
      </c>
      <c r="C312" s="100" t="s">
        <v>1830</v>
      </c>
      <c r="D312" s="84" t="s">
        <v>1729</v>
      </c>
      <c r="E312" s="101" t="s">
        <v>1831</v>
      </c>
      <c r="F312" s="84" t="s">
        <v>1832</v>
      </c>
      <c r="G312" s="101" t="s">
        <v>1833</v>
      </c>
      <c r="H312" s="85" t="s">
        <v>1822</v>
      </c>
      <c r="I312" s="99" t="s">
        <v>1822</v>
      </c>
      <c r="J312" s="85" t="s">
        <v>323</v>
      </c>
    </row>
    <row r="313" spans="2:10" s="93" customFormat="1" ht="24" customHeight="1">
      <c r="B313" s="99">
        <v>5623</v>
      </c>
      <c r="C313" s="100" t="s">
        <v>1834</v>
      </c>
      <c r="D313" s="105" t="s">
        <v>643</v>
      </c>
      <c r="E313" s="101" t="s">
        <v>1835</v>
      </c>
      <c r="F313" s="84"/>
      <c r="G313" s="101" t="s">
        <v>1836</v>
      </c>
      <c r="H313" s="85" t="s">
        <v>1822</v>
      </c>
      <c r="I313" s="99" t="s">
        <v>1822</v>
      </c>
      <c r="J313" s="85" t="s">
        <v>323</v>
      </c>
    </row>
    <row r="314" spans="2:10" s="93" customFormat="1" ht="24" customHeight="1">
      <c r="B314" s="99">
        <v>5183</v>
      </c>
      <c r="C314" s="100" t="s">
        <v>1837</v>
      </c>
      <c r="D314" s="105" t="s">
        <v>798</v>
      </c>
      <c r="E314" s="101" t="s">
        <v>1838</v>
      </c>
      <c r="F314" s="84" t="s">
        <v>1839</v>
      </c>
      <c r="G314" s="101" t="s">
        <v>1840</v>
      </c>
      <c r="H314" s="85" t="s">
        <v>1841</v>
      </c>
      <c r="I314" s="99" t="s">
        <v>1822</v>
      </c>
      <c r="J314" s="85" t="s">
        <v>323</v>
      </c>
    </row>
    <row r="315" spans="2:10" s="93" customFormat="1" ht="24" customHeight="1">
      <c r="B315" s="99">
        <v>542</v>
      </c>
      <c r="C315" s="100" t="s">
        <v>1842</v>
      </c>
      <c r="D315" s="84" t="s">
        <v>821</v>
      </c>
      <c r="E315" s="101" t="s">
        <v>1843</v>
      </c>
      <c r="F315" s="84" t="s">
        <v>1844</v>
      </c>
      <c r="G315" s="101" t="s">
        <v>1845</v>
      </c>
      <c r="H315" s="85" t="s">
        <v>1846</v>
      </c>
      <c r="I315" s="99" t="s">
        <v>1822</v>
      </c>
      <c r="J315" s="85" t="s">
        <v>323</v>
      </c>
    </row>
    <row r="316" spans="2:10" s="93" customFormat="1" ht="24" customHeight="1">
      <c r="B316" s="99">
        <v>2235</v>
      </c>
      <c r="C316" s="100" t="s">
        <v>1847</v>
      </c>
      <c r="D316" s="84" t="s">
        <v>1216</v>
      </c>
      <c r="E316" s="101" t="s">
        <v>1848</v>
      </c>
      <c r="F316" s="84" t="s">
        <v>1849</v>
      </c>
      <c r="G316" s="101" t="s">
        <v>1850</v>
      </c>
      <c r="H316" s="85" t="s">
        <v>1851</v>
      </c>
      <c r="I316" s="99" t="s">
        <v>1822</v>
      </c>
      <c r="J316" s="85" t="s">
        <v>323</v>
      </c>
    </row>
    <row r="317" spans="2:10" s="93" customFormat="1" ht="24" customHeight="1">
      <c r="B317" s="99">
        <v>2134</v>
      </c>
      <c r="C317" s="100" t="s">
        <v>1852</v>
      </c>
      <c r="D317" s="84" t="s">
        <v>650</v>
      </c>
      <c r="E317" s="101" t="s">
        <v>1853</v>
      </c>
      <c r="F317" s="84"/>
      <c r="G317" s="101" t="s">
        <v>1854</v>
      </c>
      <c r="H317" s="85" t="s">
        <v>1855</v>
      </c>
      <c r="I317" s="99" t="s">
        <v>1822</v>
      </c>
      <c r="J317" s="85" t="s">
        <v>323</v>
      </c>
    </row>
    <row r="318" spans="2:10" s="93" customFormat="1" ht="24" customHeight="1">
      <c r="B318" s="99">
        <v>3399</v>
      </c>
      <c r="C318" s="100" t="s">
        <v>1856</v>
      </c>
      <c r="D318" s="84" t="s">
        <v>672</v>
      </c>
      <c r="E318" s="101" t="s">
        <v>1857</v>
      </c>
      <c r="F318" s="84" t="s">
        <v>1858</v>
      </c>
      <c r="G318" s="101" t="s">
        <v>1859</v>
      </c>
      <c r="H318" s="85" t="s">
        <v>1855</v>
      </c>
      <c r="I318" s="99" t="s">
        <v>1822</v>
      </c>
      <c r="J318" s="85" t="s">
        <v>323</v>
      </c>
    </row>
    <row r="319" spans="2:10" s="93" customFormat="1" ht="24" customHeight="1">
      <c r="B319" s="99">
        <v>5735</v>
      </c>
      <c r="C319" s="100" t="s">
        <v>1860</v>
      </c>
      <c r="D319" s="111" t="s">
        <v>650</v>
      </c>
      <c r="E319" s="101" t="s">
        <v>1861</v>
      </c>
      <c r="F319" s="111" t="s">
        <v>1862</v>
      </c>
      <c r="G319" s="101" t="s">
        <v>1863</v>
      </c>
      <c r="H319" s="112" t="s">
        <v>1864</v>
      </c>
      <c r="I319" s="99" t="s">
        <v>1864</v>
      </c>
      <c r="J319" s="112" t="s">
        <v>323</v>
      </c>
    </row>
    <row r="320" spans="2:10" s="93" customFormat="1" ht="24" customHeight="1">
      <c r="B320" s="99">
        <v>5879</v>
      </c>
      <c r="C320" s="100" t="s">
        <v>1865</v>
      </c>
      <c r="D320" s="111" t="s">
        <v>1866</v>
      </c>
      <c r="E320" s="101" t="s">
        <v>1867</v>
      </c>
      <c r="F320" s="111" t="s">
        <v>1868</v>
      </c>
      <c r="G320" s="101" t="s">
        <v>1869</v>
      </c>
      <c r="H320" s="112" t="s">
        <v>1870</v>
      </c>
      <c r="I320" s="99" t="s">
        <v>1870</v>
      </c>
      <c r="J320" s="112" t="s">
        <v>323</v>
      </c>
    </row>
    <row r="321" spans="2:10" s="93" customFormat="1" ht="24" customHeight="1">
      <c r="B321" s="99">
        <v>5796</v>
      </c>
      <c r="C321" s="100" t="s">
        <v>1871</v>
      </c>
      <c r="D321" s="84" t="s">
        <v>643</v>
      </c>
      <c r="E321" s="101" t="s">
        <v>1867</v>
      </c>
      <c r="F321" s="111" t="s">
        <v>1872</v>
      </c>
      <c r="G321" s="101" t="s">
        <v>1873</v>
      </c>
      <c r="H321" s="112" t="s">
        <v>1870</v>
      </c>
      <c r="I321" s="99" t="s">
        <v>1870</v>
      </c>
      <c r="J321" s="112" t="s">
        <v>323</v>
      </c>
    </row>
    <row r="322" spans="2:10" s="93" customFormat="1" ht="24" customHeight="1">
      <c r="B322" s="99">
        <v>5931</v>
      </c>
      <c r="C322" s="100" t="s">
        <v>1874</v>
      </c>
      <c r="D322" s="84" t="s">
        <v>1866</v>
      </c>
      <c r="E322" s="101" t="s">
        <v>1867</v>
      </c>
      <c r="F322" s="111" t="s">
        <v>1875</v>
      </c>
      <c r="G322" s="101" t="s">
        <v>1876</v>
      </c>
      <c r="H322" s="85" t="s">
        <v>1870</v>
      </c>
      <c r="I322" s="99" t="s">
        <v>1870</v>
      </c>
      <c r="J322" s="85" t="s">
        <v>323</v>
      </c>
    </row>
    <row r="323" spans="2:10" s="93" customFormat="1" ht="24" customHeight="1">
      <c r="B323" s="99">
        <v>2404</v>
      </c>
      <c r="C323" s="100" t="s">
        <v>1877</v>
      </c>
      <c r="D323" s="84" t="s">
        <v>677</v>
      </c>
      <c r="E323" s="101" t="s">
        <v>1878</v>
      </c>
      <c r="F323" s="84"/>
      <c r="G323" s="101" t="s">
        <v>1879</v>
      </c>
      <c r="H323" s="85" t="s">
        <v>1880</v>
      </c>
      <c r="I323" s="99" t="s">
        <v>1880</v>
      </c>
      <c r="J323" s="85" t="s">
        <v>323</v>
      </c>
    </row>
    <row r="324" spans="2:10" s="93" customFormat="1" ht="24" customHeight="1">
      <c r="B324" s="99">
        <v>1973</v>
      </c>
      <c r="C324" s="100" t="s">
        <v>1881</v>
      </c>
      <c r="D324" s="84" t="s">
        <v>655</v>
      </c>
      <c r="E324" s="101" t="s">
        <v>1882</v>
      </c>
      <c r="F324" s="84" t="s">
        <v>1883</v>
      </c>
      <c r="G324" s="101" t="s">
        <v>1884</v>
      </c>
      <c r="H324" s="85" t="s">
        <v>1885</v>
      </c>
      <c r="I324" s="99" t="s">
        <v>1880</v>
      </c>
      <c r="J324" s="85" t="s">
        <v>323</v>
      </c>
    </row>
    <row r="325" spans="2:10" s="93" customFormat="1" ht="24" customHeight="1">
      <c r="B325" s="99">
        <v>2210</v>
      </c>
      <c r="C325" s="100" t="s">
        <v>1886</v>
      </c>
      <c r="D325" s="84" t="s">
        <v>1074</v>
      </c>
      <c r="E325" s="101" t="s">
        <v>1887</v>
      </c>
      <c r="F325" s="84" t="s">
        <v>1888</v>
      </c>
      <c r="G325" s="101" t="s">
        <v>1889</v>
      </c>
      <c r="H325" s="85" t="s">
        <v>1890</v>
      </c>
      <c r="I325" s="99" t="s">
        <v>1880</v>
      </c>
      <c r="J325" s="85" t="s">
        <v>323</v>
      </c>
    </row>
    <row r="326" spans="2:10" s="93" customFormat="1" ht="24" customHeight="1">
      <c r="B326" s="99">
        <v>2270</v>
      </c>
      <c r="C326" s="100" t="s">
        <v>1891</v>
      </c>
      <c r="D326" s="84" t="s">
        <v>682</v>
      </c>
      <c r="E326" s="101" t="s">
        <v>1892</v>
      </c>
      <c r="F326" s="84" t="s">
        <v>1893</v>
      </c>
      <c r="G326" s="101" t="s">
        <v>1894</v>
      </c>
      <c r="H326" s="85" t="s">
        <v>1890</v>
      </c>
      <c r="I326" s="99" t="s">
        <v>1880</v>
      </c>
      <c r="J326" s="85" t="s">
        <v>323</v>
      </c>
    </row>
    <row r="327" spans="2:10" s="93" customFormat="1" ht="24" customHeight="1">
      <c r="B327" s="99">
        <v>2119</v>
      </c>
      <c r="C327" s="100" t="s">
        <v>1895</v>
      </c>
      <c r="D327" s="84" t="s">
        <v>655</v>
      </c>
      <c r="E327" s="101" t="s">
        <v>1896</v>
      </c>
      <c r="F327" s="84" t="s">
        <v>1897</v>
      </c>
      <c r="G327" s="101" t="s">
        <v>1898</v>
      </c>
      <c r="H327" s="85" t="s">
        <v>1899</v>
      </c>
      <c r="I327" s="99" t="s">
        <v>1900</v>
      </c>
      <c r="J327" s="85" t="s">
        <v>323</v>
      </c>
    </row>
    <row r="328" spans="2:10" s="93" customFormat="1" ht="24" customHeight="1">
      <c r="B328" s="99">
        <v>3192</v>
      </c>
      <c r="C328" s="100" t="s">
        <v>1901</v>
      </c>
      <c r="D328" s="84" t="s">
        <v>813</v>
      </c>
      <c r="E328" s="101" t="s">
        <v>1902</v>
      </c>
      <c r="F328" s="84" t="s">
        <v>1903</v>
      </c>
      <c r="G328" s="101" t="s">
        <v>1904</v>
      </c>
      <c r="H328" s="85" t="s">
        <v>1870</v>
      </c>
      <c r="I328" s="99" t="s">
        <v>1900</v>
      </c>
      <c r="J328" s="85" t="s">
        <v>323</v>
      </c>
    </row>
    <row r="329" spans="2:10" s="93" customFormat="1" ht="24" customHeight="1">
      <c r="B329" s="99">
        <v>2363</v>
      </c>
      <c r="C329" s="100" t="s">
        <v>1905</v>
      </c>
      <c r="D329" s="84" t="s">
        <v>643</v>
      </c>
      <c r="E329" s="101" t="s">
        <v>1906</v>
      </c>
      <c r="F329" s="84" t="s">
        <v>1907</v>
      </c>
      <c r="G329" s="101" t="s">
        <v>1908</v>
      </c>
      <c r="H329" s="85" t="s">
        <v>1900</v>
      </c>
      <c r="I329" s="99" t="s">
        <v>1900</v>
      </c>
      <c r="J329" s="85" t="s">
        <v>323</v>
      </c>
    </row>
    <row r="330" spans="2:10" s="93" customFormat="1" ht="24" customHeight="1">
      <c r="B330" s="99">
        <v>1639</v>
      </c>
      <c r="C330" s="100" t="s">
        <v>1909</v>
      </c>
      <c r="D330" s="84" t="s">
        <v>821</v>
      </c>
      <c r="E330" s="101" t="s">
        <v>1910</v>
      </c>
      <c r="F330" s="84" t="s">
        <v>1911</v>
      </c>
      <c r="G330" s="101" t="s">
        <v>1912</v>
      </c>
      <c r="H330" s="85" t="s">
        <v>1913</v>
      </c>
      <c r="I330" s="99" t="s">
        <v>1914</v>
      </c>
      <c r="J330" s="85" t="s">
        <v>323</v>
      </c>
    </row>
    <row r="331" spans="2:10" s="93" customFormat="1" ht="24" customHeight="1">
      <c r="B331" s="99">
        <v>2185</v>
      </c>
      <c r="C331" s="100" t="s">
        <v>1915</v>
      </c>
      <c r="D331" s="84" t="s">
        <v>655</v>
      </c>
      <c r="E331" s="101" t="s">
        <v>1916</v>
      </c>
      <c r="F331" s="84" t="s">
        <v>1917</v>
      </c>
      <c r="G331" s="101" t="s">
        <v>1918</v>
      </c>
      <c r="H331" s="85" t="s">
        <v>1919</v>
      </c>
      <c r="I331" s="99" t="s">
        <v>1919</v>
      </c>
      <c r="J331" s="85" t="s">
        <v>323</v>
      </c>
    </row>
    <row r="332" spans="2:10" s="93" customFormat="1" ht="24" customHeight="1">
      <c r="B332" s="99">
        <v>5449</v>
      </c>
      <c r="C332" s="100" t="s">
        <v>1920</v>
      </c>
      <c r="D332" s="84" t="s">
        <v>659</v>
      </c>
      <c r="E332" s="101" t="s">
        <v>1921</v>
      </c>
      <c r="F332" s="84" t="s">
        <v>1922</v>
      </c>
      <c r="G332" s="101" t="s">
        <v>1923</v>
      </c>
      <c r="H332" s="85" t="s">
        <v>1924</v>
      </c>
      <c r="I332" s="99" t="s">
        <v>1925</v>
      </c>
      <c r="J332" s="85" t="s">
        <v>323</v>
      </c>
    </row>
    <row r="333" spans="2:10" s="93" customFormat="1" ht="24" customHeight="1">
      <c r="B333" s="99">
        <v>2194</v>
      </c>
      <c r="C333" s="100" t="s">
        <v>1926</v>
      </c>
      <c r="D333" s="84" t="s">
        <v>655</v>
      </c>
      <c r="E333" s="101" t="s">
        <v>1927</v>
      </c>
      <c r="F333" s="84" t="s">
        <v>1928</v>
      </c>
      <c r="G333" s="101" t="s">
        <v>1929</v>
      </c>
      <c r="H333" s="85" t="s">
        <v>1930</v>
      </c>
      <c r="I333" s="99" t="s">
        <v>1930</v>
      </c>
      <c r="J333" s="85" t="s">
        <v>323</v>
      </c>
    </row>
    <row r="334" spans="2:10" s="93" customFormat="1" ht="24" customHeight="1">
      <c r="B334" s="99">
        <v>2140</v>
      </c>
      <c r="C334" s="100" t="s">
        <v>1931</v>
      </c>
      <c r="D334" s="84" t="s">
        <v>672</v>
      </c>
      <c r="E334" s="101" t="s">
        <v>1932</v>
      </c>
      <c r="F334" s="84" t="s">
        <v>1933</v>
      </c>
      <c r="G334" s="101" t="s">
        <v>1934</v>
      </c>
      <c r="H334" s="85" t="s">
        <v>1935</v>
      </c>
      <c r="I334" s="99" t="s">
        <v>1936</v>
      </c>
      <c r="J334" s="85" t="s">
        <v>323</v>
      </c>
    </row>
    <row r="335" spans="2:10" s="93" customFormat="1" ht="24" customHeight="1">
      <c r="B335" s="99">
        <v>2357</v>
      </c>
      <c r="C335" s="100" t="s">
        <v>1937</v>
      </c>
      <c r="D335" s="84" t="s">
        <v>643</v>
      </c>
      <c r="E335" s="101" t="s">
        <v>1938</v>
      </c>
      <c r="F335" s="84" t="s">
        <v>1939</v>
      </c>
      <c r="G335" s="101" t="s">
        <v>1940</v>
      </c>
      <c r="H335" s="85" t="s">
        <v>1935</v>
      </c>
      <c r="I335" s="99" t="s">
        <v>1936</v>
      </c>
      <c r="J335" s="85" t="s">
        <v>323</v>
      </c>
    </row>
    <row r="336" spans="2:10" s="93" customFormat="1" ht="24" customHeight="1">
      <c r="B336" s="99">
        <v>4007</v>
      </c>
      <c r="C336" s="100" t="s">
        <v>1941</v>
      </c>
      <c r="D336" s="105" t="s">
        <v>682</v>
      </c>
      <c r="E336" s="101" t="s">
        <v>1942</v>
      </c>
      <c r="F336" s="84" t="s">
        <v>1943</v>
      </c>
      <c r="G336" s="101" t="s">
        <v>1944</v>
      </c>
      <c r="H336" s="85" t="s">
        <v>1935</v>
      </c>
      <c r="I336" s="99" t="s">
        <v>1936</v>
      </c>
      <c r="J336" s="85" t="s">
        <v>323</v>
      </c>
    </row>
    <row r="337" spans="2:10" s="93" customFormat="1" ht="24" customHeight="1">
      <c r="B337" s="99">
        <v>3234</v>
      </c>
      <c r="C337" s="100" t="s">
        <v>1945</v>
      </c>
      <c r="D337" s="84" t="s">
        <v>890</v>
      </c>
      <c r="E337" s="101" t="s">
        <v>1946</v>
      </c>
      <c r="F337" s="84" t="s">
        <v>1947</v>
      </c>
      <c r="G337" s="101" t="s">
        <v>1948</v>
      </c>
      <c r="H337" s="85" t="s">
        <v>1949</v>
      </c>
      <c r="I337" s="99" t="s">
        <v>1936</v>
      </c>
      <c r="J337" s="85" t="s">
        <v>323</v>
      </c>
    </row>
    <row r="338" spans="2:10" s="93" customFormat="1" ht="24" customHeight="1">
      <c r="B338" s="99">
        <v>2009</v>
      </c>
      <c r="C338" s="100" t="s">
        <v>1950</v>
      </c>
      <c r="D338" s="84" t="s">
        <v>659</v>
      </c>
      <c r="E338" s="101" t="s">
        <v>1951</v>
      </c>
      <c r="F338" s="84" t="s">
        <v>1952</v>
      </c>
      <c r="G338" s="101" t="s">
        <v>1953</v>
      </c>
      <c r="H338" s="85" t="s">
        <v>1949</v>
      </c>
      <c r="I338" s="99" t="s">
        <v>1936</v>
      </c>
      <c r="J338" s="85" t="s">
        <v>323</v>
      </c>
    </row>
    <row r="339" spans="2:10" s="93" customFormat="1" ht="24" customHeight="1">
      <c r="B339" s="99">
        <v>2655</v>
      </c>
      <c r="C339" s="100" t="s">
        <v>1954</v>
      </c>
      <c r="D339" s="84" t="s">
        <v>682</v>
      </c>
      <c r="E339" s="101" t="s">
        <v>1955</v>
      </c>
      <c r="F339" s="84" t="s">
        <v>1956</v>
      </c>
      <c r="G339" s="101" t="s">
        <v>1957</v>
      </c>
      <c r="H339" s="85" t="s">
        <v>1958</v>
      </c>
      <c r="I339" s="99" t="s">
        <v>1936</v>
      </c>
      <c r="J339" s="85" t="s">
        <v>323</v>
      </c>
    </row>
    <row r="340" spans="2:10" s="93" customFormat="1" ht="24" customHeight="1">
      <c r="B340" s="99">
        <v>5459</v>
      </c>
      <c r="C340" s="100" t="s">
        <v>1959</v>
      </c>
      <c r="D340" s="84" t="s">
        <v>813</v>
      </c>
      <c r="E340" s="101" t="s">
        <v>1960</v>
      </c>
      <c r="F340" s="84" t="s">
        <v>1961</v>
      </c>
      <c r="G340" s="101" t="s">
        <v>1962</v>
      </c>
      <c r="H340" s="85" t="s">
        <v>1958</v>
      </c>
      <c r="I340" s="99" t="s">
        <v>1936</v>
      </c>
      <c r="J340" s="85" t="s">
        <v>323</v>
      </c>
    </row>
    <row r="341" spans="2:10" s="93" customFormat="1" ht="24" customHeight="1">
      <c r="B341" s="103">
        <v>4038</v>
      </c>
      <c r="C341" s="104" t="s">
        <v>1963</v>
      </c>
      <c r="D341" s="84" t="s">
        <v>744</v>
      </c>
      <c r="E341" s="106" t="s">
        <v>1964</v>
      </c>
      <c r="F341" s="107"/>
      <c r="G341" s="106" t="s">
        <v>1965</v>
      </c>
      <c r="H341" s="108" t="s">
        <v>1958</v>
      </c>
      <c r="I341" s="109" t="s">
        <v>1936</v>
      </c>
      <c r="J341" s="108" t="s">
        <v>323</v>
      </c>
    </row>
    <row r="342" spans="2:10" s="93" customFormat="1" ht="24" customHeight="1">
      <c r="B342" s="99">
        <v>2166</v>
      </c>
      <c r="C342" s="100" t="s">
        <v>1966</v>
      </c>
      <c r="D342" s="84" t="s">
        <v>643</v>
      </c>
      <c r="E342" s="101" t="s">
        <v>1967</v>
      </c>
      <c r="F342" s="84" t="s">
        <v>1968</v>
      </c>
      <c r="G342" s="101" t="s">
        <v>1969</v>
      </c>
      <c r="H342" s="85" t="s">
        <v>1958</v>
      </c>
      <c r="I342" s="99" t="s">
        <v>1936</v>
      </c>
      <c r="J342" s="85" t="s">
        <v>323</v>
      </c>
    </row>
    <row r="343" spans="2:10" s="93" customFormat="1" ht="24" customHeight="1">
      <c r="B343" s="99">
        <v>2141</v>
      </c>
      <c r="C343" s="100" t="s">
        <v>1970</v>
      </c>
      <c r="D343" s="84" t="s">
        <v>655</v>
      </c>
      <c r="E343" s="101" t="s">
        <v>1971</v>
      </c>
      <c r="F343" s="84" t="s">
        <v>1972</v>
      </c>
      <c r="G343" s="101" t="s">
        <v>1973</v>
      </c>
      <c r="H343" s="85" t="s">
        <v>1958</v>
      </c>
      <c r="I343" s="99" t="s">
        <v>1936</v>
      </c>
      <c r="J343" s="85" t="s">
        <v>323</v>
      </c>
    </row>
    <row r="344" spans="2:10" s="93" customFormat="1" ht="24" customHeight="1">
      <c r="B344" s="99">
        <v>2141</v>
      </c>
      <c r="C344" s="100" t="s">
        <v>1974</v>
      </c>
      <c r="D344" s="84" t="s">
        <v>655</v>
      </c>
      <c r="E344" s="101" t="s">
        <v>1971</v>
      </c>
      <c r="F344" s="84" t="s">
        <v>1975</v>
      </c>
      <c r="G344" s="101" t="s">
        <v>1973</v>
      </c>
      <c r="H344" s="85" t="s">
        <v>1958</v>
      </c>
      <c r="I344" s="99" t="s">
        <v>1936</v>
      </c>
      <c r="J344" s="85" t="s">
        <v>323</v>
      </c>
    </row>
    <row r="345" spans="2:10" s="93" customFormat="1" ht="24" customHeight="1">
      <c r="B345" s="99">
        <v>1944</v>
      </c>
      <c r="C345" s="100" t="s">
        <v>1976</v>
      </c>
      <c r="D345" s="84" t="s">
        <v>672</v>
      </c>
      <c r="E345" s="101" t="s">
        <v>1977</v>
      </c>
      <c r="F345" s="84" t="s">
        <v>1978</v>
      </c>
      <c r="G345" s="101" t="s">
        <v>1979</v>
      </c>
      <c r="H345" s="85" t="s">
        <v>1958</v>
      </c>
      <c r="I345" s="99" t="s">
        <v>1936</v>
      </c>
      <c r="J345" s="85" t="s">
        <v>323</v>
      </c>
    </row>
    <row r="346" spans="2:10" s="93" customFormat="1" ht="24" customHeight="1">
      <c r="B346" s="99">
        <v>1944</v>
      </c>
      <c r="C346" s="100" t="s">
        <v>1980</v>
      </c>
      <c r="D346" s="84" t="s">
        <v>672</v>
      </c>
      <c r="E346" s="101" t="s">
        <v>1977</v>
      </c>
      <c r="F346" s="84" t="s">
        <v>1981</v>
      </c>
      <c r="G346" s="101" t="s">
        <v>1979</v>
      </c>
      <c r="H346" s="85" t="s">
        <v>1958</v>
      </c>
      <c r="I346" s="99" t="s">
        <v>1936</v>
      </c>
      <c r="J346" s="85" t="s">
        <v>323</v>
      </c>
    </row>
    <row r="347" spans="2:10" s="93" customFormat="1" ht="24" customHeight="1">
      <c r="B347" s="99">
        <v>2125</v>
      </c>
      <c r="C347" s="100" t="s">
        <v>1982</v>
      </c>
      <c r="D347" s="84" t="s">
        <v>655</v>
      </c>
      <c r="E347" s="101" t="s">
        <v>1983</v>
      </c>
      <c r="F347" s="84" t="s">
        <v>1984</v>
      </c>
      <c r="G347" s="101" t="s">
        <v>1985</v>
      </c>
      <c r="H347" s="85" t="s">
        <v>1958</v>
      </c>
      <c r="I347" s="99" t="s">
        <v>1936</v>
      </c>
      <c r="J347" s="85" t="s">
        <v>323</v>
      </c>
    </row>
    <row r="348" spans="2:10" s="93" customFormat="1" ht="24" customHeight="1">
      <c r="B348" s="99">
        <v>4609</v>
      </c>
      <c r="C348" s="100" t="s">
        <v>1986</v>
      </c>
      <c r="D348" s="84" t="s">
        <v>677</v>
      </c>
      <c r="E348" s="101" t="s">
        <v>1987</v>
      </c>
      <c r="F348" s="84" t="s">
        <v>1988</v>
      </c>
      <c r="G348" s="101" t="s">
        <v>1989</v>
      </c>
      <c r="H348" s="85" t="s">
        <v>1958</v>
      </c>
      <c r="I348" s="99" t="s">
        <v>1936</v>
      </c>
      <c r="J348" s="85" t="s">
        <v>323</v>
      </c>
    </row>
    <row r="349" spans="2:10" s="93" customFormat="1" ht="24" customHeight="1">
      <c r="B349" s="99">
        <v>5877</v>
      </c>
      <c r="C349" s="100" t="s">
        <v>1990</v>
      </c>
      <c r="D349" s="84" t="s">
        <v>643</v>
      </c>
      <c r="E349" s="101" t="s">
        <v>1991</v>
      </c>
      <c r="F349" s="111" t="s">
        <v>1992</v>
      </c>
      <c r="G349" s="101" t="s">
        <v>1993</v>
      </c>
      <c r="H349" s="112" t="s">
        <v>1958</v>
      </c>
      <c r="I349" s="99" t="s">
        <v>1936</v>
      </c>
      <c r="J349" s="112" t="s">
        <v>323</v>
      </c>
    </row>
    <row r="350" spans="2:10" s="93" customFormat="1" ht="24" customHeight="1">
      <c r="B350" s="99">
        <v>5872</v>
      </c>
      <c r="C350" s="100" t="s">
        <v>1994</v>
      </c>
      <c r="D350" s="111" t="s">
        <v>659</v>
      </c>
      <c r="E350" s="101" t="s">
        <v>1995</v>
      </c>
      <c r="F350" s="111" t="s">
        <v>1996</v>
      </c>
      <c r="G350" s="101" t="s">
        <v>1993</v>
      </c>
      <c r="H350" s="112" t="s">
        <v>1958</v>
      </c>
      <c r="I350" s="99" t="s">
        <v>1936</v>
      </c>
      <c r="J350" s="112" t="s">
        <v>323</v>
      </c>
    </row>
    <row r="351" spans="2:10" s="93" customFormat="1" ht="24" customHeight="1">
      <c r="B351" s="103">
        <v>3995</v>
      </c>
      <c r="C351" s="104" t="s">
        <v>1997</v>
      </c>
      <c r="D351" s="105" t="s">
        <v>650</v>
      </c>
      <c r="E351" s="106" t="s">
        <v>1998</v>
      </c>
      <c r="F351" s="107"/>
      <c r="G351" s="106" t="s">
        <v>1999</v>
      </c>
      <c r="H351" s="108" t="s">
        <v>2000</v>
      </c>
      <c r="I351" s="109" t="s">
        <v>1936</v>
      </c>
      <c r="J351" s="108" t="s">
        <v>323</v>
      </c>
    </row>
    <row r="352" spans="2:10" s="93" customFormat="1" ht="24" customHeight="1">
      <c r="B352" s="99">
        <v>3181</v>
      </c>
      <c r="C352" s="100" t="s">
        <v>2001</v>
      </c>
      <c r="D352" s="84" t="s">
        <v>890</v>
      </c>
      <c r="E352" s="101" t="s">
        <v>2002</v>
      </c>
      <c r="F352" s="84" t="s">
        <v>2003</v>
      </c>
      <c r="G352" s="101" t="s">
        <v>2004</v>
      </c>
      <c r="H352" s="85" t="s">
        <v>2005</v>
      </c>
      <c r="I352" s="99" t="s">
        <v>1936</v>
      </c>
      <c r="J352" s="85" t="s">
        <v>323</v>
      </c>
    </row>
    <row r="353" spans="2:10" s="93" customFormat="1" ht="24" customHeight="1">
      <c r="B353" s="99">
        <v>2021</v>
      </c>
      <c r="C353" s="100" t="s">
        <v>2006</v>
      </c>
      <c r="D353" s="84" t="s">
        <v>650</v>
      </c>
      <c r="E353" s="101" t="s">
        <v>2007</v>
      </c>
      <c r="F353" s="84" t="s">
        <v>2008</v>
      </c>
      <c r="G353" s="101" t="s">
        <v>2009</v>
      </c>
      <c r="H353" s="85" t="s">
        <v>2005</v>
      </c>
      <c r="I353" s="99" t="s">
        <v>1936</v>
      </c>
      <c r="J353" s="85" t="s">
        <v>323</v>
      </c>
    </row>
    <row r="354" spans="2:10" s="93" customFormat="1" ht="24" customHeight="1">
      <c r="B354" s="99">
        <v>2028</v>
      </c>
      <c r="C354" s="100" t="s">
        <v>2010</v>
      </c>
      <c r="D354" s="84" t="s">
        <v>1216</v>
      </c>
      <c r="E354" s="101" t="s">
        <v>2011</v>
      </c>
      <c r="F354" s="84" t="s">
        <v>2012</v>
      </c>
      <c r="G354" s="101" t="s">
        <v>2013</v>
      </c>
      <c r="H354" s="85" t="s">
        <v>2005</v>
      </c>
      <c r="I354" s="99" t="s">
        <v>1936</v>
      </c>
      <c r="J354" s="85" t="s">
        <v>323</v>
      </c>
    </row>
    <row r="355" spans="2:10" s="93" customFormat="1" ht="24" customHeight="1">
      <c r="B355" s="99">
        <v>3180</v>
      </c>
      <c r="C355" s="100" t="s">
        <v>2014</v>
      </c>
      <c r="D355" s="84" t="s">
        <v>650</v>
      </c>
      <c r="E355" s="101" t="s">
        <v>2015</v>
      </c>
      <c r="F355" s="84" t="s">
        <v>2016</v>
      </c>
      <c r="G355" s="101" t="s">
        <v>2017</v>
      </c>
      <c r="H355" s="85" t="s">
        <v>2005</v>
      </c>
      <c r="I355" s="99" t="s">
        <v>1936</v>
      </c>
      <c r="J355" s="85" t="s">
        <v>323</v>
      </c>
    </row>
    <row r="356" spans="2:10" s="93" customFormat="1" ht="24" customHeight="1">
      <c r="B356" s="99">
        <v>2161</v>
      </c>
      <c r="C356" s="100" t="s">
        <v>2018</v>
      </c>
      <c r="D356" s="84" t="s">
        <v>813</v>
      </c>
      <c r="E356" s="101" t="s">
        <v>2019</v>
      </c>
      <c r="F356" s="84" t="s">
        <v>2020</v>
      </c>
      <c r="G356" s="101" t="s">
        <v>2021</v>
      </c>
      <c r="H356" s="85" t="s">
        <v>2005</v>
      </c>
      <c r="I356" s="99" t="s">
        <v>1936</v>
      </c>
      <c r="J356" s="85" t="s">
        <v>323</v>
      </c>
    </row>
    <row r="357" spans="2:10" s="93" customFormat="1" ht="24" customHeight="1">
      <c r="B357" s="99">
        <v>2030</v>
      </c>
      <c r="C357" s="100" t="s">
        <v>2022</v>
      </c>
      <c r="D357" s="84" t="s">
        <v>659</v>
      </c>
      <c r="E357" s="101" t="s">
        <v>2023</v>
      </c>
      <c r="F357" s="84" t="s">
        <v>2024</v>
      </c>
      <c r="G357" s="101" t="s">
        <v>2025</v>
      </c>
      <c r="H357" s="85" t="s">
        <v>2005</v>
      </c>
      <c r="I357" s="99" t="s">
        <v>1936</v>
      </c>
      <c r="J357" s="85" t="s">
        <v>323</v>
      </c>
    </row>
    <row r="358" spans="2:10" s="93" customFormat="1" ht="24" customHeight="1">
      <c r="B358" s="99">
        <v>2129</v>
      </c>
      <c r="C358" s="100" t="s">
        <v>2026</v>
      </c>
      <c r="D358" s="84" t="s">
        <v>655</v>
      </c>
      <c r="E358" s="101" t="s">
        <v>2027</v>
      </c>
      <c r="F358" s="84" t="s">
        <v>2028</v>
      </c>
      <c r="G358" s="101" t="s">
        <v>2029</v>
      </c>
      <c r="H358" s="85" t="s">
        <v>2005</v>
      </c>
      <c r="I358" s="99" t="s">
        <v>1936</v>
      </c>
      <c r="J358" s="85" t="s">
        <v>323</v>
      </c>
    </row>
    <row r="359" spans="2:10" s="93" customFormat="1" ht="24" customHeight="1">
      <c r="B359" s="99">
        <v>4066</v>
      </c>
      <c r="C359" s="100" t="s">
        <v>2030</v>
      </c>
      <c r="D359" s="84" t="s">
        <v>643</v>
      </c>
      <c r="E359" s="101" t="s">
        <v>2031</v>
      </c>
      <c r="F359" s="84" t="s">
        <v>2032</v>
      </c>
      <c r="G359" s="101" t="s">
        <v>2033</v>
      </c>
      <c r="H359" s="85" t="s">
        <v>2005</v>
      </c>
      <c r="I359" s="99" t="s">
        <v>1936</v>
      </c>
      <c r="J359" s="85" t="s">
        <v>323</v>
      </c>
    </row>
    <row r="360" spans="2:10" s="93" customFormat="1" ht="24" customHeight="1">
      <c r="B360" s="102">
        <v>2274</v>
      </c>
      <c r="C360" s="100" t="s">
        <v>2034</v>
      </c>
      <c r="D360" s="84" t="s">
        <v>668</v>
      </c>
      <c r="E360" s="120" t="s">
        <v>2035</v>
      </c>
      <c r="F360" s="84"/>
      <c r="G360" s="101" t="s">
        <v>2036</v>
      </c>
      <c r="H360" s="85" t="s">
        <v>2037</v>
      </c>
      <c r="I360" s="99" t="s">
        <v>1936</v>
      </c>
      <c r="J360" s="85" t="s">
        <v>323</v>
      </c>
    </row>
    <row r="361" spans="2:10" s="93" customFormat="1" ht="24" customHeight="1">
      <c r="B361" s="99">
        <v>4137</v>
      </c>
      <c r="C361" s="100" t="s">
        <v>2038</v>
      </c>
      <c r="D361" s="84" t="s">
        <v>1216</v>
      </c>
      <c r="E361" s="101" t="s">
        <v>2039</v>
      </c>
      <c r="F361" s="84" t="s">
        <v>2040</v>
      </c>
      <c r="G361" s="101" t="s">
        <v>2041</v>
      </c>
      <c r="H361" s="85" t="s">
        <v>2037</v>
      </c>
      <c r="I361" s="99" t="s">
        <v>1936</v>
      </c>
      <c r="J361" s="85" t="s">
        <v>323</v>
      </c>
    </row>
    <row r="362" spans="2:10" s="93" customFormat="1" ht="24" customHeight="1">
      <c r="B362" s="99">
        <v>2154</v>
      </c>
      <c r="C362" s="100" t="s">
        <v>2042</v>
      </c>
      <c r="D362" s="84" t="s">
        <v>672</v>
      </c>
      <c r="E362" s="101" t="s">
        <v>2043</v>
      </c>
      <c r="F362" s="84" t="s">
        <v>2044</v>
      </c>
      <c r="G362" s="101" t="s">
        <v>2045</v>
      </c>
      <c r="H362" s="85" t="s">
        <v>2037</v>
      </c>
      <c r="I362" s="99" t="s">
        <v>1936</v>
      </c>
      <c r="J362" s="85" t="s">
        <v>323</v>
      </c>
    </row>
    <row r="363" spans="2:10" s="93" customFormat="1" ht="24" customHeight="1">
      <c r="B363" s="102">
        <v>3488</v>
      </c>
      <c r="C363" s="100" t="s">
        <v>2046</v>
      </c>
      <c r="D363" s="84" t="s">
        <v>643</v>
      </c>
      <c r="E363" s="120" t="s">
        <v>2047</v>
      </c>
      <c r="F363" s="84"/>
      <c r="G363" s="101" t="s">
        <v>2048</v>
      </c>
      <c r="H363" s="85" t="s">
        <v>2037</v>
      </c>
      <c r="I363" s="99" t="s">
        <v>1936</v>
      </c>
      <c r="J363" s="85" t="s">
        <v>323</v>
      </c>
    </row>
    <row r="364" spans="2:10" s="93" customFormat="1" ht="24" customHeight="1">
      <c r="B364" s="99">
        <v>2094</v>
      </c>
      <c r="C364" s="100" t="s">
        <v>2049</v>
      </c>
      <c r="D364" s="84" t="s">
        <v>672</v>
      </c>
      <c r="E364" s="101" t="s">
        <v>2050</v>
      </c>
      <c r="F364" s="84" t="s">
        <v>2051</v>
      </c>
      <c r="G364" s="101" t="s">
        <v>2052</v>
      </c>
      <c r="H364" s="85" t="s">
        <v>2037</v>
      </c>
      <c r="I364" s="99" t="s">
        <v>1936</v>
      </c>
      <c r="J364" s="85" t="s">
        <v>323</v>
      </c>
    </row>
    <row r="365" spans="2:10" s="93" customFormat="1" ht="24" customHeight="1">
      <c r="B365" s="102">
        <v>3488</v>
      </c>
      <c r="C365" s="100" t="s">
        <v>2053</v>
      </c>
      <c r="D365" s="84" t="s">
        <v>643</v>
      </c>
      <c r="E365" s="120" t="s">
        <v>2047</v>
      </c>
      <c r="F365" s="84"/>
      <c r="G365" s="101" t="s">
        <v>2048</v>
      </c>
      <c r="H365" s="85" t="s">
        <v>2037</v>
      </c>
      <c r="I365" s="99" t="s">
        <v>1936</v>
      </c>
      <c r="J365" s="85" t="s">
        <v>323</v>
      </c>
    </row>
    <row r="366" spans="2:10" s="93" customFormat="1" ht="24" customHeight="1">
      <c r="B366" s="99">
        <v>1988</v>
      </c>
      <c r="C366" s="100" t="s">
        <v>2054</v>
      </c>
      <c r="D366" s="84" t="s">
        <v>668</v>
      </c>
      <c r="E366" s="101" t="s">
        <v>2055</v>
      </c>
      <c r="F366" s="84" t="s">
        <v>2056</v>
      </c>
      <c r="G366" s="101" t="s">
        <v>2057</v>
      </c>
      <c r="H366" s="85" t="s">
        <v>2037</v>
      </c>
      <c r="I366" s="99" t="s">
        <v>1936</v>
      </c>
      <c r="J366" s="85" t="s">
        <v>323</v>
      </c>
    </row>
    <row r="367" spans="2:10" s="93" customFormat="1" ht="24" customHeight="1">
      <c r="B367" s="102">
        <v>3488</v>
      </c>
      <c r="C367" s="100" t="s">
        <v>2058</v>
      </c>
      <c r="D367" s="84" t="s">
        <v>643</v>
      </c>
      <c r="E367" s="120" t="s">
        <v>2047</v>
      </c>
      <c r="F367" s="84"/>
      <c r="G367" s="101" t="s">
        <v>2048</v>
      </c>
      <c r="H367" s="85" t="s">
        <v>2037</v>
      </c>
      <c r="I367" s="99" t="s">
        <v>1936</v>
      </c>
      <c r="J367" s="85" t="s">
        <v>323</v>
      </c>
    </row>
    <row r="368" spans="2:10" s="93" customFormat="1" ht="24" customHeight="1">
      <c r="B368" s="99">
        <v>4560</v>
      </c>
      <c r="C368" s="100" t="s">
        <v>2059</v>
      </c>
      <c r="D368" s="84" t="s">
        <v>643</v>
      </c>
      <c r="E368" s="101" t="s">
        <v>2060</v>
      </c>
      <c r="F368" s="84" t="s">
        <v>2061</v>
      </c>
      <c r="G368" s="101" t="s">
        <v>2062</v>
      </c>
      <c r="H368" s="85" t="s">
        <v>2063</v>
      </c>
      <c r="I368" s="99" t="s">
        <v>1936</v>
      </c>
      <c r="J368" s="85" t="s">
        <v>323</v>
      </c>
    </row>
    <row r="369" spans="2:16" s="93" customFormat="1" ht="24" customHeight="1">
      <c r="B369" s="99">
        <v>4765</v>
      </c>
      <c r="C369" s="100" t="s">
        <v>2064</v>
      </c>
      <c r="D369" s="84" t="s">
        <v>643</v>
      </c>
      <c r="E369" s="101"/>
      <c r="F369" s="127" t="s">
        <v>2065</v>
      </c>
      <c r="G369" s="101" t="s">
        <v>2066</v>
      </c>
      <c r="H369" s="85" t="s">
        <v>2063</v>
      </c>
      <c r="I369" s="99" t="s">
        <v>1936</v>
      </c>
      <c r="J369" s="85" t="s">
        <v>323</v>
      </c>
      <c r="K369" s="110"/>
      <c r="L369" s="110"/>
      <c r="M369" s="110"/>
      <c r="N369" s="110"/>
      <c r="O369" s="110"/>
      <c r="P369" s="110"/>
    </row>
    <row r="370" spans="2:16" s="93" customFormat="1" ht="24" customHeight="1">
      <c r="B370" s="99">
        <v>3293</v>
      </c>
      <c r="C370" s="100" t="s">
        <v>2067</v>
      </c>
      <c r="D370" s="84" t="s">
        <v>682</v>
      </c>
      <c r="E370" s="101" t="s">
        <v>2068</v>
      </c>
      <c r="F370" s="84" t="s">
        <v>2069</v>
      </c>
      <c r="G370" s="101" t="s">
        <v>2070</v>
      </c>
      <c r="H370" s="85" t="s">
        <v>2071</v>
      </c>
      <c r="I370" s="99" t="s">
        <v>1936</v>
      </c>
      <c r="J370" s="85" t="s">
        <v>323</v>
      </c>
    </row>
    <row r="371" spans="2:16" s="93" customFormat="1" ht="24" customHeight="1">
      <c r="B371" s="99">
        <v>5332</v>
      </c>
      <c r="C371" s="128" t="s">
        <v>2072</v>
      </c>
      <c r="D371" s="84" t="s">
        <v>813</v>
      </c>
      <c r="E371" s="101" t="s">
        <v>2073</v>
      </c>
      <c r="F371" s="84" t="s">
        <v>2074</v>
      </c>
      <c r="G371" s="101" t="s">
        <v>2075</v>
      </c>
      <c r="H371" s="85" t="s">
        <v>2071</v>
      </c>
      <c r="I371" s="99" t="s">
        <v>1936</v>
      </c>
      <c r="J371" s="85" t="s">
        <v>323</v>
      </c>
    </row>
    <row r="372" spans="2:16" s="93" customFormat="1" ht="24" customHeight="1">
      <c r="B372" s="99">
        <v>2341</v>
      </c>
      <c r="C372" s="100" t="s">
        <v>2076</v>
      </c>
      <c r="D372" s="84" t="s">
        <v>744</v>
      </c>
      <c r="E372" s="101" t="s">
        <v>2077</v>
      </c>
      <c r="F372" s="84" t="s">
        <v>2078</v>
      </c>
      <c r="G372" s="101" t="s">
        <v>2079</v>
      </c>
      <c r="H372" s="85" t="s">
        <v>2080</v>
      </c>
      <c r="I372" s="99" t="s">
        <v>1936</v>
      </c>
      <c r="J372" s="85" t="s">
        <v>323</v>
      </c>
    </row>
    <row r="373" spans="2:16" s="93" customFormat="1" ht="24" customHeight="1">
      <c r="B373" s="99">
        <v>2175</v>
      </c>
      <c r="C373" s="100" t="s">
        <v>2081</v>
      </c>
      <c r="D373" s="84" t="s">
        <v>643</v>
      </c>
      <c r="E373" s="101" t="s">
        <v>2082</v>
      </c>
      <c r="F373" s="84" t="s">
        <v>2083</v>
      </c>
      <c r="G373" s="101" t="s">
        <v>2084</v>
      </c>
      <c r="H373" s="85" t="s">
        <v>2080</v>
      </c>
      <c r="I373" s="99" t="s">
        <v>1936</v>
      </c>
      <c r="J373" s="85" t="s">
        <v>323</v>
      </c>
    </row>
    <row r="374" spans="2:16" s="93" customFormat="1" ht="24" customHeight="1">
      <c r="B374" s="99">
        <v>5805</v>
      </c>
      <c r="C374" s="100" t="s">
        <v>2085</v>
      </c>
      <c r="D374" s="111" t="s">
        <v>682</v>
      </c>
      <c r="E374" s="101" t="s">
        <v>2086</v>
      </c>
      <c r="F374" s="111" t="s">
        <v>2087</v>
      </c>
      <c r="G374" s="101" t="s">
        <v>2088</v>
      </c>
      <c r="H374" s="112" t="s">
        <v>2080</v>
      </c>
      <c r="I374" s="99" t="s">
        <v>1936</v>
      </c>
      <c r="J374" s="85" t="s">
        <v>323</v>
      </c>
    </row>
    <row r="375" spans="2:16" s="93" customFormat="1" ht="24" customHeight="1">
      <c r="B375" s="99">
        <v>5323</v>
      </c>
      <c r="C375" s="128" t="s">
        <v>2089</v>
      </c>
      <c r="D375" s="84" t="s">
        <v>773</v>
      </c>
      <c r="E375" s="101" t="s">
        <v>2090</v>
      </c>
      <c r="F375" s="84" t="s">
        <v>2091</v>
      </c>
      <c r="G375" s="129" t="s">
        <v>2092</v>
      </c>
      <c r="H375" s="85" t="s">
        <v>1936</v>
      </c>
      <c r="I375" s="99" t="s">
        <v>1936</v>
      </c>
      <c r="J375" s="85" t="s">
        <v>323</v>
      </c>
    </row>
    <row r="376" spans="2:16" s="93" customFormat="1" ht="24" customHeight="1">
      <c r="B376" s="99">
        <v>2435</v>
      </c>
      <c r="C376" s="100" t="s">
        <v>2093</v>
      </c>
      <c r="D376" s="84" t="s">
        <v>677</v>
      </c>
      <c r="E376" s="101" t="s">
        <v>2094</v>
      </c>
      <c r="F376" s="84"/>
      <c r="G376" s="101" t="s">
        <v>2095</v>
      </c>
      <c r="H376" s="85" t="s">
        <v>1936</v>
      </c>
      <c r="I376" s="99" t="s">
        <v>1936</v>
      </c>
      <c r="J376" s="85" t="s">
        <v>323</v>
      </c>
    </row>
    <row r="377" spans="2:16" s="93" customFormat="1" ht="24" customHeight="1">
      <c r="B377" s="103">
        <v>4020</v>
      </c>
      <c r="C377" s="104" t="s">
        <v>2096</v>
      </c>
      <c r="D377" s="105" t="s">
        <v>773</v>
      </c>
      <c r="E377" s="106" t="s">
        <v>2097</v>
      </c>
      <c r="F377" s="107"/>
      <c r="G377" s="106" t="s">
        <v>2098</v>
      </c>
      <c r="H377" s="108" t="s">
        <v>1936</v>
      </c>
      <c r="I377" s="109" t="s">
        <v>1936</v>
      </c>
      <c r="J377" s="108" t="s">
        <v>323</v>
      </c>
    </row>
    <row r="378" spans="2:16" s="93" customFormat="1" ht="24" customHeight="1">
      <c r="B378" s="102">
        <v>5103</v>
      </c>
      <c r="C378" s="100" t="s">
        <v>2099</v>
      </c>
      <c r="D378" s="84" t="s">
        <v>682</v>
      </c>
      <c r="E378" s="120" t="s">
        <v>2100</v>
      </c>
      <c r="F378" s="84" t="s">
        <v>2101</v>
      </c>
      <c r="G378" s="101" t="s">
        <v>2102</v>
      </c>
      <c r="H378" s="85" t="s">
        <v>1936</v>
      </c>
      <c r="I378" s="99" t="s">
        <v>1936</v>
      </c>
      <c r="J378" s="85" t="s">
        <v>323</v>
      </c>
    </row>
    <row r="379" spans="2:16" s="93" customFormat="1" ht="24" customHeight="1">
      <c r="B379" s="99">
        <v>2080</v>
      </c>
      <c r="C379" s="100" t="s">
        <v>2103</v>
      </c>
      <c r="D379" s="84" t="s">
        <v>643</v>
      </c>
      <c r="E379" s="101" t="s">
        <v>2104</v>
      </c>
      <c r="F379" s="84"/>
      <c r="G379" s="101" t="s">
        <v>2105</v>
      </c>
      <c r="H379" s="85" t="s">
        <v>1936</v>
      </c>
      <c r="I379" s="99" t="s">
        <v>1936</v>
      </c>
      <c r="J379" s="85" t="s">
        <v>323</v>
      </c>
      <c r="K379" s="110"/>
      <c r="L379" s="110"/>
      <c r="M379" s="110"/>
      <c r="N379" s="110"/>
      <c r="O379" s="110"/>
      <c r="P379" s="110"/>
    </row>
    <row r="380" spans="2:16" s="93" customFormat="1" ht="24" customHeight="1">
      <c r="B380" s="113">
        <v>4002</v>
      </c>
      <c r="C380" s="114" t="s">
        <v>2106</v>
      </c>
      <c r="D380" s="84" t="s">
        <v>672</v>
      </c>
      <c r="E380" s="106" t="s">
        <v>2107</v>
      </c>
      <c r="F380" s="107"/>
      <c r="G380" s="106" t="s">
        <v>2108</v>
      </c>
      <c r="H380" s="108" t="s">
        <v>1936</v>
      </c>
      <c r="I380" s="109" t="s">
        <v>1936</v>
      </c>
      <c r="J380" s="108" t="s">
        <v>323</v>
      </c>
      <c r="K380" s="110"/>
      <c r="L380" s="110"/>
      <c r="M380" s="110"/>
      <c r="N380" s="110"/>
      <c r="O380" s="110"/>
      <c r="P380" s="110"/>
    </row>
    <row r="381" spans="2:16" s="93" customFormat="1" ht="24" customHeight="1">
      <c r="B381" s="99">
        <v>5807</v>
      </c>
      <c r="C381" s="100" t="s">
        <v>2109</v>
      </c>
      <c r="D381" s="111" t="s">
        <v>650</v>
      </c>
      <c r="E381" s="101" t="s">
        <v>2110</v>
      </c>
      <c r="F381" s="111" t="s">
        <v>2111</v>
      </c>
      <c r="G381" s="106" t="s">
        <v>2112</v>
      </c>
      <c r="H381" s="108" t="s">
        <v>1936</v>
      </c>
      <c r="I381" s="109" t="s">
        <v>1936</v>
      </c>
      <c r="J381" s="108" t="s">
        <v>323</v>
      </c>
    </row>
    <row r="382" spans="2:16" s="93" customFormat="1" ht="24" customHeight="1">
      <c r="B382" s="113">
        <v>4139</v>
      </c>
      <c r="C382" s="114" t="s">
        <v>2113</v>
      </c>
      <c r="D382" s="84" t="s">
        <v>655</v>
      </c>
      <c r="E382" s="106" t="s">
        <v>2114</v>
      </c>
      <c r="F382" s="107" t="s">
        <v>2115</v>
      </c>
      <c r="G382" s="106" t="s">
        <v>2116</v>
      </c>
      <c r="H382" s="108" t="s">
        <v>1936</v>
      </c>
      <c r="I382" s="109" t="s">
        <v>1936</v>
      </c>
      <c r="J382" s="108" t="s">
        <v>323</v>
      </c>
    </row>
    <row r="383" spans="2:16" s="93" customFormat="1" ht="24" customHeight="1">
      <c r="B383" s="103">
        <v>4069</v>
      </c>
      <c r="C383" s="104" t="s">
        <v>2117</v>
      </c>
      <c r="D383" s="105" t="s">
        <v>798</v>
      </c>
      <c r="E383" s="120" t="s">
        <v>2118</v>
      </c>
      <c r="F383" s="105" t="s">
        <v>2119</v>
      </c>
      <c r="G383" s="106" t="s">
        <v>2120</v>
      </c>
      <c r="H383" s="108" t="s">
        <v>1936</v>
      </c>
      <c r="I383" s="109" t="s">
        <v>1936</v>
      </c>
      <c r="J383" s="108" t="s">
        <v>323</v>
      </c>
    </row>
    <row r="384" spans="2:16" s="93" customFormat="1" ht="24" customHeight="1">
      <c r="B384" s="99">
        <v>2434</v>
      </c>
      <c r="C384" s="100" t="s">
        <v>2121</v>
      </c>
      <c r="D384" s="84" t="s">
        <v>655</v>
      </c>
      <c r="E384" s="101" t="s">
        <v>2122</v>
      </c>
      <c r="F384" s="84"/>
      <c r="G384" s="101" t="s">
        <v>2123</v>
      </c>
      <c r="H384" s="85" t="s">
        <v>1936</v>
      </c>
      <c r="I384" s="99" t="s">
        <v>1936</v>
      </c>
      <c r="J384" s="85" t="s">
        <v>323</v>
      </c>
    </row>
    <row r="385" spans="2:16" s="93" customFormat="1" ht="24" customHeight="1">
      <c r="B385" s="99">
        <v>3194</v>
      </c>
      <c r="C385" s="100" t="s">
        <v>2124</v>
      </c>
      <c r="D385" s="84" t="s">
        <v>813</v>
      </c>
      <c r="E385" s="101" t="s">
        <v>2125</v>
      </c>
      <c r="F385" s="84" t="s">
        <v>2126</v>
      </c>
      <c r="G385" s="101" t="s">
        <v>2127</v>
      </c>
      <c r="H385" s="85" t="s">
        <v>1936</v>
      </c>
      <c r="I385" s="99" t="s">
        <v>1936</v>
      </c>
      <c r="J385" s="85" t="s">
        <v>323</v>
      </c>
    </row>
    <row r="386" spans="2:16" s="93" customFormat="1" ht="24" customHeight="1">
      <c r="B386" s="103">
        <v>3990</v>
      </c>
      <c r="C386" s="104" t="s">
        <v>2128</v>
      </c>
      <c r="D386" s="105" t="s">
        <v>650</v>
      </c>
      <c r="E386" s="106" t="s">
        <v>2129</v>
      </c>
      <c r="F386" s="107"/>
      <c r="G386" s="106" t="s">
        <v>2130</v>
      </c>
      <c r="H386" s="108" t="s">
        <v>1936</v>
      </c>
      <c r="I386" s="109" t="s">
        <v>1936</v>
      </c>
      <c r="J386" s="108" t="s">
        <v>323</v>
      </c>
    </row>
    <row r="387" spans="2:16" s="93" customFormat="1" ht="24" customHeight="1">
      <c r="B387" s="103">
        <v>4082</v>
      </c>
      <c r="C387" s="104" t="s">
        <v>2131</v>
      </c>
      <c r="D387" s="84" t="s">
        <v>668</v>
      </c>
      <c r="E387" s="106" t="s">
        <v>2132</v>
      </c>
      <c r="F387" s="107"/>
      <c r="G387" s="106" t="s">
        <v>2133</v>
      </c>
      <c r="H387" s="108" t="s">
        <v>1936</v>
      </c>
      <c r="I387" s="109" t="s">
        <v>1936</v>
      </c>
      <c r="J387" s="108" t="s">
        <v>323</v>
      </c>
    </row>
    <row r="388" spans="2:16" s="93" customFormat="1" ht="24" customHeight="1">
      <c r="B388" s="103">
        <v>3972</v>
      </c>
      <c r="C388" s="104" t="s">
        <v>2134</v>
      </c>
      <c r="D388" s="84" t="s">
        <v>655</v>
      </c>
      <c r="E388" s="106" t="s">
        <v>2135</v>
      </c>
      <c r="F388" s="107"/>
      <c r="G388" s="106" t="s">
        <v>2136</v>
      </c>
      <c r="H388" s="108" t="s">
        <v>1936</v>
      </c>
      <c r="I388" s="109" t="s">
        <v>1936</v>
      </c>
      <c r="J388" s="108" t="s">
        <v>323</v>
      </c>
    </row>
    <row r="389" spans="2:16" s="93" customFormat="1" ht="24" customHeight="1">
      <c r="B389" s="103">
        <v>3964</v>
      </c>
      <c r="C389" s="104" t="s">
        <v>2137</v>
      </c>
      <c r="D389" s="84" t="s">
        <v>821</v>
      </c>
      <c r="E389" s="106" t="s">
        <v>2138</v>
      </c>
      <c r="F389" s="107"/>
      <c r="G389" s="106" t="s">
        <v>2139</v>
      </c>
      <c r="H389" s="108" t="s">
        <v>1936</v>
      </c>
      <c r="I389" s="109" t="s">
        <v>1936</v>
      </c>
      <c r="J389" s="108" t="s">
        <v>323</v>
      </c>
    </row>
    <row r="390" spans="2:16" s="93" customFormat="1" ht="24" customHeight="1">
      <c r="B390" s="103">
        <v>4108</v>
      </c>
      <c r="C390" s="104" t="s">
        <v>2140</v>
      </c>
      <c r="D390" s="84" t="s">
        <v>643</v>
      </c>
      <c r="E390" s="106" t="s">
        <v>2141</v>
      </c>
      <c r="F390" s="107" t="s">
        <v>2141</v>
      </c>
      <c r="G390" s="106" t="s">
        <v>2142</v>
      </c>
      <c r="H390" s="108" t="s">
        <v>1936</v>
      </c>
      <c r="I390" s="109" t="s">
        <v>1936</v>
      </c>
      <c r="J390" s="108" t="s">
        <v>323</v>
      </c>
    </row>
    <row r="391" spans="2:16" s="93" customFormat="1" ht="24" customHeight="1">
      <c r="B391" s="103">
        <v>3967</v>
      </c>
      <c r="C391" s="104" t="s">
        <v>2143</v>
      </c>
      <c r="D391" s="84" t="s">
        <v>821</v>
      </c>
      <c r="E391" s="106" t="s">
        <v>2144</v>
      </c>
      <c r="F391" s="107"/>
      <c r="G391" s="106" t="s">
        <v>2145</v>
      </c>
      <c r="H391" s="108" t="s">
        <v>1936</v>
      </c>
      <c r="I391" s="109" t="s">
        <v>1936</v>
      </c>
      <c r="J391" s="108" t="s">
        <v>323</v>
      </c>
    </row>
    <row r="392" spans="2:16" s="93" customFormat="1" ht="24" customHeight="1">
      <c r="B392" s="103">
        <v>4041</v>
      </c>
      <c r="C392" s="104" t="s">
        <v>2146</v>
      </c>
      <c r="D392" s="84" t="s">
        <v>655</v>
      </c>
      <c r="E392" s="106" t="s">
        <v>2147</v>
      </c>
      <c r="F392" s="107"/>
      <c r="G392" s="106" t="s">
        <v>2148</v>
      </c>
      <c r="H392" s="108" t="s">
        <v>1936</v>
      </c>
      <c r="I392" s="109" t="s">
        <v>1936</v>
      </c>
      <c r="J392" s="108" t="s">
        <v>323</v>
      </c>
    </row>
    <row r="393" spans="2:16" s="93" customFormat="1" ht="24" customHeight="1">
      <c r="B393" s="103">
        <v>4105</v>
      </c>
      <c r="C393" s="104" t="s">
        <v>2149</v>
      </c>
      <c r="D393" s="84" t="s">
        <v>672</v>
      </c>
      <c r="E393" s="106" t="s">
        <v>2150</v>
      </c>
      <c r="F393" s="107"/>
      <c r="G393" s="106" t="s">
        <v>2151</v>
      </c>
      <c r="H393" s="108" t="s">
        <v>1936</v>
      </c>
      <c r="I393" s="109" t="s">
        <v>1936</v>
      </c>
      <c r="J393" s="108" t="s">
        <v>323</v>
      </c>
    </row>
    <row r="394" spans="2:16" s="93" customFormat="1" ht="24" customHeight="1">
      <c r="B394" s="113">
        <v>3973</v>
      </c>
      <c r="C394" s="114" t="s">
        <v>2152</v>
      </c>
      <c r="D394" s="107" t="s">
        <v>751</v>
      </c>
      <c r="E394" s="106" t="s">
        <v>2153</v>
      </c>
      <c r="F394" s="107" t="s">
        <v>2154</v>
      </c>
      <c r="G394" s="106" t="s">
        <v>2155</v>
      </c>
      <c r="H394" s="130" t="s">
        <v>1936</v>
      </c>
      <c r="I394" s="131" t="s">
        <v>1936</v>
      </c>
      <c r="J394" s="130" t="s">
        <v>323</v>
      </c>
    </row>
    <row r="395" spans="2:16" s="93" customFormat="1" ht="24" customHeight="1">
      <c r="B395" s="99">
        <v>2811</v>
      </c>
      <c r="C395" s="100" t="s">
        <v>2156</v>
      </c>
      <c r="D395" s="84" t="s">
        <v>643</v>
      </c>
      <c r="E395" s="101" t="s">
        <v>2157</v>
      </c>
      <c r="F395" s="84"/>
      <c r="G395" s="101" t="s">
        <v>2158</v>
      </c>
      <c r="H395" s="85" t="s">
        <v>2159</v>
      </c>
      <c r="I395" s="99" t="s">
        <v>1936</v>
      </c>
      <c r="J395" s="85" t="s">
        <v>323</v>
      </c>
    </row>
    <row r="396" spans="2:16" s="93" customFormat="1" ht="24" customHeight="1">
      <c r="B396" s="99">
        <v>2811</v>
      </c>
      <c r="C396" s="100" t="s">
        <v>2160</v>
      </c>
      <c r="D396" s="84" t="s">
        <v>643</v>
      </c>
      <c r="E396" s="101" t="s">
        <v>2157</v>
      </c>
      <c r="F396" s="84"/>
      <c r="G396" s="101" t="s">
        <v>2158</v>
      </c>
      <c r="H396" s="85" t="s">
        <v>2159</v>
      </c>
      <c r="I396" s="99" t="s">
        <v>1936</v>
      </c>
      <c r="J396" s="85" t="s">
        <v>323</v>
      </c>
      <c r="K396" s="110"/>
      <c r="L396" s="110"/>
      <c r="M396" s="110"/>
      <c r="N396" s="110"/>
      <c r="O396" s="110"/>
      <c r="P396" s="110"/>
    </row>
    <row r="397" spans="2:16" s="93" customFormat="1" ht="24" customHeight="1">
      <c r="B397" s="99">
        <v>40</v>
      </c>
      <c r="C397" s="100" t="s">
        <v>2161</v>
      </c>
      <c r="D397" s="84" t="s">
        <v>821</v>
      </c>
      <c r="E397" s="101" t="s">
        <v>2162</v>
      </c>
      <c r="F397" s="84" t="s">
        <v>2163</v>
      </c>
      <c r="G397" s="101" t="s">
        <v>2164</v>
      </c>
      <c r="H397" s="85" t="s">
        <v>2165</v>
      </c>
      <c r="I397" s="99" t="s">
        <v>1936</v>
      </c>
      <c r="J397" s="85" t="s">
        <v>323</v>
      </c>
    </row>
    <row r="398" spans="2:16" s="93" customFormat="1" ht="24" customHeight="1">
      <c r="B398" s="99">
        <v>2410</v>
      </c>
      <c r="C398" s="100" t="s">
        <v>2166</v>
      </c>
      <c r="D398" s="84" t="s">
        <v>2167</v>
      </c>
      <c r="E398" s="101" t="s">
        <v>2168</v>
      </c>
      <c r="F398" s="84" t="s">
        <v>2169</v>
      </c>
      <c r="G398" s="101" t="s">
        <v>2170</v>
      </c>
      <c r="H398" s="85" t="s">
        <v>2165</v>
      </c>
      <c r="I398" s="99" t="s">
        <v>1936</v>
      </c>
      <c r="J398" s="85" t="s">
        <v>323</v>
      </c>
    </row>
    <row r="399" spans="2:16" s="93" customFormat="1" ht="24" customHeight="1">
      <c r="B399" s="102">
        <v>4781</v>
      </c>
      <c r="C399" s="100" t="s">
        <v>2171</v>
      </c>
      <c r="D399" s="84" t="s">
        <v>1646</v>
      </c>
      <c r="E399" s="120" t="s">
        <v>2172</v>
      </c>
      <c r="F399" s="84" t="s">
        <v>2173</v>
      </c>
      <c r="G399" s="101" t="s">
        <v>2174</v>
      </c>
      <c r="H399" s="85" t="s">
        <v>2175</v>
      </c>
      <c r="I399" s="99" t="s">
        <v>1936</v>
      </c>
      <c r="J399" s="85" t="s">
        <v>323</v>
      </c>
    </row>
    <row r="400" spans="2:16" s="93" customFormat="1" ht="24" customHeight="1">
      <c r="B400" s="102">
        <v>4782</v>
      </c>
      <c r="C400" s="100" t="s">
        <v>2176</v>
      </c>
      <c r="D400" s="84" t="s">
        <v>890</v>
      </c>
      <c r="E400" s="120" t="s">
        <v>2172</v>
      </c>
      <c r="F400" s="84" t="s">
        <v>2177</v>
      </c>
      <c r="G400" s="101" t="s">
        <v>2178</v>
      </c>
      <c r="H400" s="85" t="s">
        <v>2175</v>
      </c>
      <c r="I400" s="99" t="s">
        <v>1936</v>
      </c>
      <c r="J400" s="85" t="s">
        <v>323</v>
      </c>
    </row>
    <row r="401" spans="2:10" s="93" customFormat="1" ht="24" customHeight="1">
      <c r="B401" s="102">
        <v>514</v>
      </c>
      <c r="C401" s="100" t="s">
        <v>2179</v>
      </c>
      <c r="D401" s="84" t="s">
        <v>643</v>
      </c>
      <c r="E401" s="120" t="s">
        <v>2180</v>
      </c>
      <c r="F401" s="84"/>
      <c r="G401" s="101" t="s">
        <v>2181</v>
      </c>
      <c r="H401" s="85" t="s">
        <v>2175</v>
      </c>
      <c r="I401" s="99" t="s">
        <v>1936</v>
      </c>
      <c r="J401" s="85" t="s">
        <v>323</v>
      </c>
    </row>
    <row r="402" spans="2:10" s="93" customFormat="1" ht="24" customHeight="1">
      <c r="B402" s="99">
        <v>5537</v>
      </c>
      <c r="C402" s="100" t="s">
        <v>2182</v>
      </c>
      <c r="D402" s="84" t="s">
        <v>643</v>
      </c>
      <c r="E402" s="101" t="s">
        <v>2183</v>
      </c>
      <c r="F402" s="84" t="s">
        <v>2184</v>
      </c>
      <c r="G402" s="101" t="s">
        <v>2185</v>
      </c>
      <c r="H402" s="85" t="s">
        <v>2175</v>
      </c>
      <c r="I402" s="99" t="s">
        <v>1936</v>
      </c>
      <c r="J402" s="85" t="s">
        <v>323</v>
      </c>
    </row>
    <row r="403" spans="2:10" s="93" customFormat="1" ht="24" customHeight="1">
      <c r="B403" s="99">
        <v>2647</v>
      </c>
      <c r="C403" s="100" t="s">
        <v>2186</v>
      </c>
      <c r="D403" s="84" t="s">
        <v>890</v>
      </c>
      <c r="E403" s="101" t="s">
        <v>2187</v>
      </c>
      <c r="F403" s="84" t="s">
        <v>2188</v>
      </c>
      <c r="G403" s="101" t="s">
        <v>2189</v>
      </c>
      <c r="H403" s="85" t="s">
        <v>2175</v>
      </c>
      <c r="I403" s="99" t="s">
        <v>1936</v>
      </c>
      <c r="J403" s="85" t="s">
        <v>323</v>
      </c>
    </row>
    <row r="404" spans="2:10" s="93" customFormat="1" ht="24" customHeight="1">
      <c r="B404" s="99">
        <v>2406</v>
      </c>
      <c r="C404" s="100" t="s">
        <v>2190</v>
      </c>
      <c r="D404" s="84" t="s">
        <v>672</v>
      </c>
      <c r="E404" s="101" t="s">
        <v>2191</v>
      </c>
      <c r="F404" s="84" t="s">
        <v>2192</v>
      </c>
      <c r="G404" s="101" t="s">
        <v>2193</v>
      </c>
      <c r="H404" s="85" t="s">
        <v>2175</v>
      </c>
      <c r="I404" s="99" t="s">
        <v>1936</v>
      </c>
      <c r="J404" s="85" t="s">
        <v>323</v>
      </c>
    </row>
    <row r="405" spans="2:10" s="93" customFormat="1" ht="24" customHeight="1">
      <c r="B405" s="102">
        <v>514</v>
      </c>
      <c r="C405" s="100" t="s">
        <v>2194</v>
      </c>
      <c r="D405" s="84" t="s">
        <v>643</v>
      </c>
      <c r="E405" s="120" t="s">
        <v>2180</v>
      </c>
      <c r="F405" s="84"/>
      <c r="G405" s="101" t="s">
        <v>2195</v>
      </c>
      <c r="H405" s="85" t="s">
        <v>2175</v>
      </c>
      <c r="I405" s="99" t="s">
        <v>1936</v>
      </c>
      <c r="J405" s="85" t="s">
        <v>323</v>
      </c>
    </row>
    <row r="406" spans="2:10" s="93" customFormat="1" ht="24" customHeight="1">
      <c r="B406" s="102">
        <v>514</v>
      </c>
      <c r="C406" s="100" t="s">
        <v>2196</v>
      </c>
      <c r="D406" s="84" t="s">
        <v>643</v>
      </c>
      <c r="E406" s="120" t="s">
        <v>2180</v>
      </c>
      <c r="F406" s="84"/>
      <c r="G406" s="101" t="s">
        <v>2197</v>
      </c>
      <c r="H406" s="85" t="s">
        <v>2175</v>
      </c>
      <c r="I406" s="99" t="s">
        <v>1936</v>
      </c>
      <c r="J406" s="85" t="s">
        <v>323</v>
      </c>
    </row>
    <row r="407" spans="2:10" s="93" customFormat="1" ht="24" customHeight="1">
      <c r="B407" s="102">
        <v>514</v>
      </c>
      <c r="C407" s="100" t="s">
        <v>2198</v>
      </c>
      <c r="D407" s="84" t="s">
        <v>643</v>
      </c>
      <c r="E407" s="120" t="s">
        <v>2180</v>
      </c>
      <c r="F407" s="84"/>
      <c r="G407" s="101" t="s">
        <v>2199</v>
      </c>
      <c r="H407" s="85" t="s">
        <v>2175</v>
      </c>
      <c r="I407" s="99" t="s">
        <v>1936</v>
      </c>
      <c r="J407" s="85" t="s">
        <v>323</v>
      </c>
    </row>
    <row r="408" spans="2:10" s="93" customFormat="1" ht="24" customHeight="1">
      <c r="B408" s="102">
        <v>514</v>
      </c>
      <c r="C408" s="100" t="s">
        <v>2200</v>
      </c>
      <c r="D408" s="84" t="s">
        <v>643</v>
      </c>
      <c r="E408" s="120" t="s">
        <v>2180</v>
      </c>
      <c r="F408" s="84"/>
      <c r="G408" s="101" t="s">
        <v>2201</v>
      </c>
      <c r="H408" s="85" t="s">
        <v>2175</v>
      </c>
      <c r="I408" s="99" t="s">
        <v>1936</v>
      </c>
      <c r="J408" s="85" t="s">
        <v>323</v>
      </c>
    </row>
    <row r="409" spans="2:10" s="93" customFormat="1" ht="24" customHeight="1">
      <c r="B409" s="99">
        <v>5538</v>
      </c>
      <c r="C409" s="100" t="s">
        <v>2202</v>
      </c>
      <c r="D409" s="84" t="s">
        <v>643</v>
      </c>
      <c r="E409" s="101" t="s">
        <v>2184</v>
      </c>
      <c r="F409" s="84" t="s">
        <v>2203</v>
      </c>
      <c r="G409" s="101" t="s">
        <v>2185</v>
      </c>
      <c r="H409" s="85" t="s">
        <v>2175</v>
      </c>
      <c r="I409" s="99" t="s">
        <v>1936</v>
      </c>
      <c r="J409" s="85" t="s">
        <v>323</v>
      </c>
    </row>
    <row r="410" spans="2:10" s="93" customFormat="1" ht="24" customHeight="1">
      <c r="B410" s="102">
        <v>514</v>
      </c>
      <c r="C410" s="100" t="s">
        <v>2204</v>
      </c>
      <c r="D410" s="84" t="s">
        <v>643</v>
      </c>
      <c r="E410" s="120" t="s">
        <v>2180</v>
      </c>
      <c r="F410" s="84"/>
      <c r="G410" s="101" t="s">
        <v>2205</v>
      </c>
      <c r="H410" s="85" t="s">
        <v>2175</v>
      </c>
      <c r="I410" s="99" t="s">
        <v>1936</v>
      </c>
      <c r="J410" s="85" t="s">
        <v>323</v>
      </c>
    </row>
    <row r="411" spans="2:10" s="93" customFormat="1" ht="24" customHeight="1">
      <c r="B411" s="102">
        <v>514</v>
      </c>
      <c r="C411" s="100" t="s">
        <v>2206</v>
      </c>
      <c r="D411" s="84" t="s">
        <v>643</v>
      </c>
      <c r="E411" s="120" t="s">
        <v>2180</v>
      </c>
      <c r="F411" s="84"/>
      <c r="G411" s="101" t="s">
        <v>2207</v>
      </c>
      <c r="H411" s="85" t="s">
        <v>2175</v>
      </c>
      <c r="I411" s="99" t="s">
        <v>1936</v>
      </c>
      <c r="J411" s="85" t="s">
        <v>323</v>
      </c>
    </row>
    <row r="412" spans="2:10" s="93" customFormat="1" ht="24" customHeight="1">
      <c r="B412" s="99">
        <v>3409</v>
      </c>
      <c r="C412" s="100" t="s">
        <v>2208</v>
      </c>
      <c r="D412" s="84" t="s">
        <v>655</v>
      </c>
      <c r="E412" s="101" t="s">
        <v>2125</v>
      </c>
      <c r="F412" s="84" t="s">
        <v>2209</v>
      </c>
      <c r="G412" s="101" t="s">
        <v>2210</v>
      </c>
      <c r="H412" s="85" t="s">
        <v>2175</v>
      </c>
      <c r="I412" s="99" t="s">
        <v>1936</v>
      </c>
      <c r="J412" s="85" t="s">
        <v>323</v>
      </c>
    </row>
    <row r="413" spans="2:10" s="93" customFormat="1" ht="24" customHeight="1">
      <c r="B413" s="99">
        <v>3304</v>
      </c>
      <c r="C413" s="100" t="s">
        <v>2211</v>
      </c>
      <c r="D413" s="84" t="s">
        <v>1392</v>
      </c>
      <c r="E413" s="101" t="s">
        <v>2212</v>
      </c>
      <c r="F413" s="84" t="s">
        <v>2213</v>
      </c>
      <c r="G413" s="101" t="s">
        <v>2214</v>
      </c>
      <c r="H413" s="85" t="s">
        <v>2175</v>
      </c>
      <c r="I413" s="99" t="s">
        <v>1936</v>
      </c>
      <c r="J413" s="85" t="s">
        <v>323</v>
      </c>
    </row>
    <row r="414" spans="2:10" s="93" customFormat="1" ht="24" customHeight="1">
      <c r="B414" s="99">
        <v>3285</v>
      </c>
      <c r="C414" s="100" t="s">
        <v>2215</v>
      </c>
      <c r="D414" s="84" t="s">
        <v>643</v>
      </c>
      <c r="E414" s="101" t="s">
        <v>2153</v>
      </c>
      <c r="F414" s="84" t="s">
        <v>2216</v>
      </c>
      <c r="G414" s="101" t="s">
        <v>2217</v>
      </c>
      <c r="H414" s="85" t="s">
        <v>2218</v>
      </c>
      <c r="I414" s="99" t="s">
        <v>1936</v>
      </c>
      <c r="J414" s="85" t="s">
        <v>323</v>
      </c>
    </row>
    <row r="415" spans="2:10" s="93" customFormat="1" ht="24" customHeight="1">
      <c r="B415" s="99">
        <v>2380</v>
      </c>
      <c r="C415" s="100" t="s">
        <v>2219</v>
      </c>
      <c r="D415" s="84" t="s">
        <v>643</v>
      </c>
      <c r="E415" s="101" t="s">
        <v>2220</v>
      </c>
      <c r="F415" s="84" t="s">
        <v>2221</v>
      </c>
      <c r="G415" s="101" t="s">
        <v>2222</v>
      </c>
      <c r="H415" s="85" t="s">
        <v>2223</v>
      </c>
      <c r="I415" s="99" t="s">
        <v>1936</v>
      </c>
      <c r="J415" s="85" t="s">
        <v>323</v>
      </c>
    </row>
    <row r="416" spans="2:10" s="93" customFormat="1" ht="24" customHeight="1">
      <c r="B416" s="99">
        <v>41</v>
      </c>
      <c r="C416" s="100" t="s">
        <v>2224</v>
      </c>
      <c r="D416" s="84" t="s">
        <v>821</v>
      </c>
      <c r="E416" s="101" t="s">
        <v>2225</v>
      </c>
      <c r="F416" s="84" t="s">
        <v>2226</v>
      </c>
      <c r="G416" s="101" t="s">
        <v>2227</v>
      </c>
      <c r="H416" s="85" t="s">
        <v>2223</v>
      </c>
      <c r="I416" s="99" t="s">
        <v>1936</v>
      </c>
      <c r="J416" s="85" t="s">
        <v>323</v>
      </c>
    </row>
    <row r="417" spans="2:16" s="93" customFormat="1" ht="24" customHeight="1">
      <c r="B417" s="99">
        <v>77</v>
      </c>
      <c r="C417" s="100" t="s">
        <v>2228</v>
      </c>
      <c r="D417" s="84" t="s">
        <v>821</v>
      </c>
      <c r="E417" s="101" t="s">
        <v>2225</v>
      </c>
      <c r="F417" s="84" t="s">
        <v>2229</v>
      </c>
      <c r="G417" s="101" t="s">
        <v>2230</v>
      </c>
      <c r="H417" s="85" t="s">
        <v>2223</v>
      </c>
      <c r="I417" s="99" t="s">
        <v>1936</v>
      </c>
      <c r="J417" s="85" t="s">
        <v>323</v>
      </c>
    </row>
    <row r="418" spans="2:16" s="93" customFormat="1" ht="24" customHeight="1">
      <c r="B418" s="99">
        <v>2042</v>
      </c>
      <c r="C418" s="100" t="s">
        <v>2231</v>
      </c>
      <c r="D418" s="84" t="s">
        <v>655</v>
      </c>
      <c r="E418" s="101" t="s">
        <v>2232</v>
      </c>
      <c r="F418" s="84" t="s">
        <v>2233</v>
      </c>
      <c r="G418" s="101" t="s">
        <v>2234</v>
      </c>
      <c r="H418" s="85" t="s">
        <v>2235</v>
      </c>
      <c r="I418" s="99" t="s">
        <v>1936</v>
      </c>
      <c r="J418" s="85" t="s">
        <v>323</v>
      </c>
    </row>
    <row r="419" spans="2:16" s="93" customFormat="1" ht="24" customHeight="1">
      <c r="B419" s="99">
        <v>2405</v>
      </c>
      <c r="C419" s="100" t="s">
        <v>2236</v>
      </c>
      <c r="D419" s="84" t="s">
        <v>1074</v>
      </c>
      <c r="E419" s="101" t="s">
        <v>2237</v>
      </c>
      <c r="F419" s="84" t="s">
        <v>2238</v>
      </c>
      <c r="G419" s="101" t="s">
        <v>2239</v>
      </c>
      <c r="H419" s="85" t="s">
        <v>2240</v>
      </c>
      <c r="I419" s="99" t="s">
        <v>1936</v>
      </c>
      <c r="J419" s="85" t="s">
        <v>323</v>
      </c>
    </row>
    <row r="420" spans="2:16" s="93" customFormat="1" ht="24" customHeight="1">
      <c r="B420" s="99">
        <v>2031</v>
      </c>
      <c r="C420" s="100" t="s">
        <v>2241</v>
      </c>
      <c r="D420" s="84" t="s">
        <v>1261</v>
      </c>
      <c r="E420" s="101" t="s">
        <v>2242</v>
      </c>
      <c r="F420" s="84" t="s">
        <v>2243</v>
      </c>
      <c r="G420" s="101" t="s">
        <v>2244</v>
      </c>
      <c r="H420" s="85" t="s">
        <v>2240</v>
      </c>
      <c r="I420" s="99" t="s">
        <v>1936</v>
      </c>
      <c r="J420" s="85" t="s">
        <v>323</v>
      </c>
    </row>
    <row r="421" spans="2:16" s="93" customFormat="1" ht="24" customHeight="1">
      <c r="B421" s="99">
        <v>2405</v>
      </c>
      <c r="C421" s="100" t="s">
        <v>2245</v>
      </c>
      <c r="D421" s="84" t="s">
        <v>1074</v>
      </c>
      <c r="E421" s="101" t="s">
        <v>2237</v>
      </c>
      <c r="F421" s="84" t="s">
        <v>2246</v>
      </c>
      <c r="G421" s="101" t="s">
        <v>2239</v>
      </c>
      <c r="H421" s="85" t="s">
        <v>2240</v>
      </c>
      <c r="I421" s="99" t="s">
        <v>1936</v>
      </c>
      <c r="J421" s="85" t="s">
        <v>323</v>
      </c>
    </row>
    <row r="422" spans="2:16" s="93" customFormat="1" ht="24" customHeight="1">
      <c r="B422" s="99">
        <v>5182</v>
      </c>
      <c r="C422" s="100" t="s">
        <v>2247</v>
      </c>
      <c r="D422" s="84" t="s">
        <v>643</v>
      </c>
      <c r="E422" s="101" t="s">
        <v>2248</v>
      </c>
      <c r="F422" s="84" t="s">
        <v>2249</v>
      </c>
      <c r="G422" s="101" t="s">
        <v>2250</v>
      </c>
      <c r="H422" s="85" t="s">
        <v>2240</v>
      </c>
      <c r="I422" s="99" t="s">
        <v>1936</v>
      </c>
      <c r="J422" s="85" t="s">
        <v>323</v>
      </c>
    </row>
    <row r="423" spans="2:16" s="93" customFormat="1" ht="24" customHeight="1">
      <c r="B423" s="99">
        <v>2033</v>
      </c>
      <c r="C423" s="100" t="s">
        <v>2251</v>
      </c>
      <c r="D423" s="84" t="s">
        <v>643</v>
      </c>
      <c r="E423" s="101" t="s">
        <v>2242</v>
      </c>
      <c r="F423" s="84" t="s">
        <v>2252</v>
      </c>
      <c r="G423" s="101" t="s">
        <v>2244</v>
      </c>
      <c r="H423" s="85" t="s">
        <v>2240</v>
      </c>
      <c r="I423" s="99" t="s">
        <v>1936</v>
      </c>
      <c r="J423" s="85" t="s">
        <v>323</v>
      </c>
      <c r="K423" s="110"/>
      <c r="L423" s="110"/>
      <c r="M423" s="110"/>
      <c r="N423" s="110"/>
      <c r="O423" s="110"/>
      <c r="P423" s="110"/>
    </row>
    <row r="424" spans="2:16" s="93" customFormat="1" ht="24" customHeight="1">
      <c r="B424" s="99">
        <v>2229</v>
      </c>
      <c r="C424" s="100" t="s">
        <v>2253</v>
      </c>
      <c r="D424" s="84" t="s">
        <v>672</v>
      </c>
      <c r="E424" s="101" t="s">
        <v>2254</v>
      </c>
      <c r="F424" s="84" t="s">
        <v>2255</v>
      </c>
      <c r="G424" s="101" t="s">
        <v>2256</v>
      </c>
      <c r="H424" s="85" t="s">
        <v>2257</v>
      </c>
      <c r="I424" s="99" t="s">
        <v>1936</v>
      </c>
      <c r="J424" s="85" t="s">
        <v>323</v>
      </c>
    </row>
    <row r="425" spans="2:16" s="93" customFormat="1" ht="24" customHeight="1">
      <c r="B425" s="99">
        <v>2228</v>
      </c>
      <c r="C425" s="100" t="s">
        <v>2258</v>
      </c>
      <c r="D425" s="84" t="s">
        <v>672</v>
      </c>
      <c r="E425" s="101" t="s">
        <v>2259</v>
      </c>
      <c r="F425" s="84" t="s">
        <v>2260</v>
      </c>
      <c r="G425" s="101" t="s">
        <v>2261</v>
      </c>
      <c r="H425" s="85" t="s">
        <v>2262</v>
      </c>
      <c r="I425" s="99" t="s">
        <v>1936</v>
      </c>
      <c r="J425" s="85" t="s">
        <v>323</v>
      </c>
    </row>
    <row r="426" spans="2:16" s="93" customFormat="1" ht="24" customHeight="1">
      <c r="B426" s="99">
        <v>2208</v>
      </c>
      <c r="C426" s="100" t="s">
        <v>2263</v>
      </c>
      <c r="D426" s="84" t="s">
        <v>655</v>
      </c>
      <c r="E426" s="101" t="s">
        <v>2264</v>
      </c>
      <c r="F426" s="84" t="s">
        <v>2265</v>
      </c>
      <c r="G426" s="101" t="s">
        <v>2266</v>
      </c>
      <c r="H426" s="85" t="s">
        <v>2267</v>
      </c>
      <c r="I426" s="99" t="s">
        <v>2268</v>
      </c>
      <c r="J426" s="85" t="s">
        <v>323</v>
      </c>
    </row>
    <row r="427" spans="2:16" s="93" customFormat="1" ht="24" customHeight="1">
      <c r="B427" s="99">
        <v>3100</v>
      </c>
      <c r="C427" s="100" t="s">
        <v>2269</v>
      </c>
      <c r="D427" s="84" t="s">
        <v>643</v>
      </c>
      <c r="E427" s="101" t="s">
        <v>2270</v>
      </c>
      <c r="F427" s="84"/>
      <c r="G427" s="101" t="s">
        <v>2271</v>
      </c>
      <c r="H427" s="85" t="s">
        <v>2268</v>
      </c>
      <c r="I427" s="99" t="s">
        <v>2268</v>
      </c>
      <c r="J427" s="85" t="s">
        <v>323</v>
      </c>
      <c r="K427" s="110"/>
      <c r="L427" s="110"/>
      <c r="M427" s="110"/>
      <c r="N427" s="110"/>
      <c r="O427" s="110"/>
      <c r="P427" s="110"/>
    </row>
    <row r="428" spans="2:16" s="93" customFormat="1" ht="24" customHeight="1">
      <c r="B428" s="99">
        <v>2188</v>
      </c>
      <c r="C428" s="100" t="s">
        <v>2272</v>
      </c>
      <c r="D428" s="84" t="s">
        <v>655</v>
      </c>
      <c r="E428" s="101" t="s">
        <v>2273</v>
      </c>
      <c r="F428" s="84" t="s">
        <v>2274</v>
      </c>
      <c r="G428" s="101" t="s">
        <v>2275</v>
      </c>
      <c r="H428" s="85" t="s">
        <v>2276</v>
      </c>
      <c r="I428" s="99" t="s">
        <v>2277</v>
      </c>
      <c r="J428" s="85" t="s">
        <v>323</v>
      </c>
    </row>
    <row r="429" spans="2:16" s="93" customFormat="1" ht="24" customHeight="1">
      <c r="B429" s="99">
        <v>3237</v>
      </c>
      <c r="C429" s="100" t="s">
        <v>2278</v>
      </c>
      <c r="D429" s="84" t="s">
        <v>643</v>
      </c>
      <c r="E429" s="101" t="s">
        <v>2279</v>
      </c>
      <c r="F429" s="84" t="s">
        <v>2280</v>
      </c>
      <c r="G429" s="101" t="s">
        <v>2281</v>
      </c>
      <c r="H429" s="85" t="s">
        <v>2282</v>
      </c>
      <c r="I429" s="99" t="s">
        <v>2283</v>
      </c>
      <c r="J429" s="85" t="s">
        <v>323</v>
      </c>
    </row>
    <row r="430" spans="2:16" s="93" customFormat="1" ht="24" customHeight="1">
      <c r="B430" s="99">
        <v>2172</v>
      </c>
      <c r="C430" s="100" t="s">
        <v>2284</v>
      </c>
      <c r="D430" s="84" t="s">
        <v>643</v>
      </c>
      <c r="E430" s="101" t="s">
        <v>2285</v>
      </c>
      <c r="F430" s="84" t="s">
        <v>2286</v>
      </c>
      <c r="G430" s="101" t="s">
        <v>2287</v>
      </c>
      <c r="H430" s="85" t="s">
        <v>2283</v>
      </c>
      <c r="I430" s="99" t="s">
        <v>2283</v>
      </c>
      <c r="J430" s="85" t="s">
        <v>323</v>
      </c>
    </row>
    <row r="431" spans="2:16" s="93" customFormat="1" ht="24" customHeight="1">
      <c r="B431" s="99">
        <v>2165</v>
      </c>
      <c r="C431" s="100" t="s">
        <v>2288</v>
      </c>
      <c r="D431" s="84" t="s">
        <v>655</v>
      </c>
      <c r="E431" s="101" t="s">
        <v>2289</v>
      </c>
      <c r="F431" s="84" t="s">
        <v>2290</v>
      </c>
      <c r="G431" s="101" t="s">
        <v>2291</v>
      </c>
      <c r="H431" s="85" t="s">
        <v>2283</v>
      </c>
      <c r="I431" s="99" t="s">
        <v>2283</v>
      </c>
      <c r="J431" s="85" t="s">
        <v>323</v>
      </c>
    </row>
    <row r="432" spans="2:16" s="93" customFormat="1" ht="24" customHeight="1">
      <c r="B432" s="103">
        <v>4106</v>
      </c>
      <c r="C432" s="104" t="s">
        <v>2292</v>
      </c>
      <c r="D432" s="84" t="s">
        <v>655</v>
      </c>
      <c r="E432" s="106" t="s">
        <v>2293</v>
      </c>
      <c r="F432" s="107"/>
      <c r="G432" s="106" t="s">
        <v>2294</v>
      </c>
      <c r="H432" s="108" t="s">
        <v>2283</v>
      </c>
      <c r="I432" s="109" t="s">
        <v>2283</v>
      </c>
      <c r="J432" s="108" t="s">
        <v>323</v>
      </c>
    </row>
    <row r="433" spans="2:10" s="93" customFormat="1" ht="24" customHeight="1">
      <c r="B433" s="103">
        <v>5088</v>
      </c>
      <c r="C433" s="104" t="s">
        <v>2295</v>
      </c>
      <c r="D433" s="84" t="s">
        <v>1392</v>
      </c>
      <c r="E433" s="106" t="s">
        <v>2296</v>
      </c>
      <c r="F433" s="107" t="s">
        <v>2297</v>
      </c>
      <c r="G433" s="106" t="s">
        <v>2298</v>
      </c>
      <c r="H433" s="108" t="s">
        <v>2283</v>
      </c>
      <c r="I433" s="109" t="s">
        <v>2283</v>
      </c>
      <c r="J433" s="108" t="s">
        <v>323</v>
      </c>
    </row>
    <row r="434" spans="2:10" s="93" customFormat="1" ht="24" customHeight="1">
      <c r="B434" s="99">
        <v>2336</v>
      </c>
      <c r="C434" s="100" t="s">
        <v>2299</v>
      </c>
      <c r="D434" s="84" t="s">
        <v>655</v>
      </c>
      <c r="E434" s="101" t="s">
        <v>2300</v>
      </c>
      <c r="F434" s="84" t="s">
        <v>2301</v>
      </c>
      <c r="G434" s="101" t="s">
        <v>2302</v>
      </c>
      <c r="H434" s="85" t="s">
        <v>2303</v>
      </c>
      <c r="I434" s="99" t="s">
        <v>2303</v>
      </c>
      <c r="J434" s="85" t="s">
        <v>323</v>
      </c>
    </row>
    <row r="435" spans="2:10" s="93" customFormat="1" ht="24" customHeight="1">
      <c r="B435" s="99">
        <v>2215</v>
      </c>
      <c r="C435" s="100" t="s">
        <v>2304</v>
      </c>
      <c r="D435" s="84" t="s">
        <v>672</v>
      </c>
      <c r="E435" s="101" t="s">
        <v>2305</v>
      </c>
      <c r="F435" s="84" t="s">
        <v>2306</v>
      </c>
      <c r="G435" s="101" t="s">
        <v>2307</v>
      </c>
      <c r="H435" s="85" t="s">
        <v>2303</v>
      </c>
      <c r="I435" s="99" t="s">
        <v>2303</v>
      </c>
      <c r="J435" s="85" t="s">
        <v>323</v>
      </c>
    </row>
    <row r="436" spans="2:10" s="93" customFormat="1" ht="24" customHeight="1">
      <c r="B436" s="99">
        <v>3046</v>
      </c>
      <c r="C436" s="100" t="s">
        <v>2308</v>
      </c>
      <c r="D436" s="84" t="s">
        <v>643</v>
      </c>
      <c r="E436" s="101" t="s">
        <v>2309</v>
      </c>
      <c r="F436" s="84"/>
      <c r="G436" s="101" t="s">
        <v>2310</v>
      </c>
      <c r="H436" s="85" t="s">
        <v>2303</v>
      </c>
      <c r="I436" s="99" t="s">
        <v>2303</v>
      </c>
      <c r="J436" s="85" t="s">
        <v>323</v>
      </c>
    </row>
    <row r="437" spans="2:10" s="93" customFormat="1" ht="24" customHeight="1">
      <c r="B437" s="99">
        <v>3046</v>
      </c>
      <c r="C437" s="100" t="s">
        <v>2311</v>
      </c>
      <c r="D437" s="84" t="s">
        <v>655</v>
      </c>
      <c r="E437" s="101" t="s">
        <v>2309</v>
      </c>
      <c r="F437" s="84" t="s">
        <v>2312</v>
      </c>
      <c r="G437" s="101" t="s">
        <v>2310</v>
      </c>
      <c r="H437" s="85" t="s">
        <v>2303</v>
      </c>
      <c r="I437" s="99" t="s">
        <v>2303</v>
      </c>
      <c r="J437" s="85" t="s">
        <v>323</v>
      </c>
    </row>
    <row r="438" spans="2:10" s="93" customFormat="1" ht="24" customHeight="1">
      <c r="B438" s="99">
        <v>5881</v>
      </c>
      <c r="C438" s="100" t="s">
        <v>2313</v>
      </c>
      <c r="D438" s="111" t="s">
        <v>682</v>
      </c>
      <c r="E438" s="101" t="s">
        <v>2314</v>
      </c>
      <c r="F438" s="111" t="s">
        <v>2315</v>
      </c>
      <c r="G438" s="101" t="s">
        <v>2316</v>
      </c>
      <c r="H438" s="112" t="s">
        <v>2317</v>
      </c>
      <c r="I438" s="99" t="s">
        <v>2318</v>
      </c>
      <c r="J438" s="112" t="s">
        <v>323</v>
      </c>
    </row>
    <row r="439" spans="2:10" s="93" customFormat="1" ht="24" customHeight="1">
      <c r="B439" s="99">
        <v>364</v>
      </c>
      <c r="C439" s="100" t="s">
        <v>2319</v>
      </c>
      <c r="D439" s="84" t="s">
        <v>821</v>
      </c>
      <c r="E439" s="101" t="s">
        <v>2320</v>
      </c>
      <c r="F439" s="84" t="s">
        <v>2321</v>
      </c>
      <c r="G439" s="101" t="s">
        <v>2322</v>
      </c>
      <c r="H439" s="85" t="s">
        <v>2323</v>
      </c>
      <c r="I439" s="99" t="s">
        <v>2318</v>
      </c>
      <c r="J439" s="85" t="s">
        <v>323</v>
      </c>
    </row>
    <row r="440" spans="2:10" s="93" customFormat="1" ht="24" customHeight="1">
      <c r="B440" s="99">
        <v>3397</v>
      </c>
      <c r="C440" s="100" t="s">
        <v>2324</v>
      </c>
      <c r="D440" s="84" t="s">
        <v>643</v>
      </c>
      <c r="E440" s="101" t="s">
        <v>2325</v>
      </c>
      <c r="F440" s="84" t="s">
        <v>2326</v>
      </c>
      <c r="G440" s="101" t="s">
        <v>2327</v>
      </c>
      <c r="H440" s="85" t="s">
        <v>2328</v>
      </c>
      <c r="I440" s="99" t="s">
        <v>2318</v>
      </c>
      <c r="J440" s="85" t="s">
        <v>323</v>
      </c>
    </row>
    <row r="441" spans="2:10" s="93" customFormat="1" ht="24" customHeight="1">
      <c r="B441" s="99">
        <v>4776</v>
      </c>
      <c r="C441" s="100" t="s">
        <v>2329</v>
      </c>
      <c r="D441" s="84" t="s">
        <v>813</v>
      </c>
      <c r="E441" s="101" t="s">
        <v>2330</v>
      </c>
      <c r="F441" s="84" t="s">
        <v>2331</v>
      </c>
      <c r="G441" s="101" t="s">
        <v>2332</v>
      </c>
      <c r="H441" s="85" t="s">
        <v>2333</v>
      </c>
      <c r="I441" s="99" t="s">
        <v>2318</v>
      </c>
      <c r="J441" s="85" t="s">
        <v>323</v>
      </c>
    </row>
    <row r="442" spans="2:10" s="93" customFormat="1" ht="24" customHeight="1">
      <c r="B442" s="99">
        <v>4788</v>
      </c>
      <c r="C442" s="100" t="s">
        <v>2334</v>
      </c>
      <c r="D442" s="84" t="s">
        <v>668</v>
      </c>
      <c r="E442" s="101" t="s">
        <v>2335</v>
      </c>
      <c r="F442" s="84"/>
      <c r="G442" s="101" t="s">
        <v>2336</v>
      </c>
      <c r="H442" s="85" t="s">
        <v>1851</v>
      </c>
      <c r="I442" s="99" t="s">
        <v>2337</v>
      </c>
      <c r="J442" s="85" t="s">
        <v>323</v>
      </c>
    </row>
    <row r="443" spans="2:10" s="93" customFormat="1" ht="24" customHeight="1">
      <c r="B443" s="99">
        <v>4784</v>
      </c>
      <c r="C443" s="100" t="s">
        <v>2338</v>
      </c>
      <c r="D443" s="84" t="s">
        <v>672</v>
      </c>
      <c r="E443" s="101" t="s">
        <v>2339</v>
      </c>
      <c r="F443" s="84" t="s">
        <v>2340</v>
      </c>
      <c r="G443" s="101" t="s">
        <v>2341</v>
      </c>
      <c r="H443" s="85" t="s">
        <v>1851</v>
      </c>
      <c r="I443" s="99" t="s">
        <v>2337</v>
      </c>
      <c r="J443" s="85" t="s">
        <v>323</v>
      </c>
    </row>
    <row r="444" spans="2:10" s="93" customFormat="1" ht="24" customHeight="1">
      <c r="B444" s="99">
        <v>3119</v>
      </c>
      <c r="C444" s="100" t="s">
        <v>2342</v>
      </c>
      <c r="D444" s="84" t="s">
        <v>672</v>
      </c>
      <c r="E444" s="101" t="s">
        <v>2343</v>
      </c>
      <c r="F444" s="84" t="s">
        <v>2344</v>
      </c>
      <c r="G444" s="101" t="s">
        <v>2345</v>
      </c>
      <c r="H444" s="85" t="s">
        <v>1851</v>
      </c>
      <c r="I444" s="99" t="s">
        <v>2337</v>
      </c>
      <c r="J444" s="85" t="s">
        <v>323</v>
      </c>
    </row>
    <row r="445" spans="2:10" s="93" customFormat="1" ht="24" customHeight="1">
      <c r="B445" s="99">
        <v>2327</v>
      </c>
      <c r="C445" s="100" t="s">
        <v>2346</v>
      </c>
      <c r="D445" s="84" t="s">
        <v>744</v>
      </c>
      <c r="E445" s="101" t="s">
        <v>2347</v>
      </c>
      <c r="F445" s="84" t="s">
        <v>2348</v>
      </c>
      <c r="G445" s="101" t="s">
        <v>2349</v>
      </c>
      <c r="H445" s="85" t="s">
        <v>1851</v>
      </c>
      <c r="I445" s="99" t="s">
        <v>2337</v>
      </c>
      <c r="J445" s="85" t="s">
        <v>323</v>
      </c>
    </row>
    <row r="446" spans="2:10" s="93" customFormat="1" ht="24" customHeight="1">
      <c r="B446" s="99">
        <v>5331</v>
      </c>
      <c r="C446" s="128" t="s">
        <v>2350</v>
      </c>
      <c r="D446" s="84" t="s">
        <v>672</v>
      </c>
      <c r="E446" s="101" t="s">
        <v>2351</v>
      </c>
      <c r="F446" s="84" t="s">
        <v>2352</v>
      </c>
      <c r="G446" s="129" t="s">
        <v>2353</v>
      </c>
      <c r="H446" s="85" t="s">
        <v>1851</v>
      </c>
      <c r="I446" s="99" t="s">
        <v>2337</v>
      </c>
      <c r="J446" s="85" t="s">
        <v>323</v>
      </c>
    </row>
    <row r="447" spans="2:10" s="93" customFormat="1" ht="24" customHeight="1">
      <c r="B447" s="99">
        <v>5693</v>
      </c>
      <c r="C447" s="100" t="s">
        <v>2354</v>
      </c>
      <c r="D447" s="111" t="s">
        <v>1646</v>
      </c>
      <c r="E447" s="101" t="s">
        <v>2355</v>
      </c>
      <c r="F447" s="111" t="s">
        <v>2356</v>
      </c>
      <c r="G447" s="101" t="s">
        <v>2357</v>
      </c>
      <c r="H447" s="112" t="s">
        <v>1851</v>
      </c>
      <c r="I447" s="99" t="s">
        <v>2337</v>
      </c>
      <c r="J447" s="112" t="s">
        <v>323</v>
      </c>
    </row>
    <row r="448" spans="2:10" s="93" customFormat="1" ht="24" customHeight="1">
      <c r="B448" s="99">
        <v>4783</v>
      </c>
      <c r="C448" s="100" t="s">
        <v>2358</v>
      </c>
      <c r="D448" s="84" t="s">
        <v>682</v>
      </c>
      <c r="E448" s="101" t="s">
        <v>2359</v>
      </c>
      <c r="F448" s="84" t="s">
        <v>2360</v>
      </c>
      <c r="G448" s="101" t="s">
        <v>2361</v>
      </c>
      <c r="H448" s="85" t="s">
        <v>2362</v>
      </c>
      <c r="I448" s="99" t="s">
        <v>2337</v>
      </c>
      <c r="J448" s="85" t="s">
        <v>323</v>
      </c>
    </row>
    <row r="449" spans="2:16" s="93" customFormat="1" ht="24" customHeight="1">
      <c r="B449" s="99">
        <v>2006</v>
      </c>
      <c r="C449" s="100" t="s">
        <v>2363</v>
      </c>
      <c r="D449" s="84" t="s">
        <v>1392</v>
      </c>
      <c r="E449" s="101" t="s">
        <v>2364</v>
      </c>
      <c r="F449" s="84" t="s">
        <v>2365</v>
      </c>
      <c r="G449" s="101" t="s">
        <v>2366</v>
      </c>
      <c r="H449" s="85" t="s">
        <v>2367</v>
      </c>
      <c r="I449" s="99" t="s">
        <v>2337</v>
      </c>
      <c r="J449" s="85" t="s">
        <v>323</v>
      </c>
    </row>
    <row r="450" spans="2:16" s="93" customFormat="1" ht="24" customHeight="1">
      <c r="B450" s="99">
        <v>3122</v>
      </c>
      <c r="C450" s="100" t="s">
        <v>2368</v>
      </c>
      <c r="D450" s="84" t="s">
        <v>1646</v>
      </c>
      <c r="E450" s="101" t="s">
        <v>2369</v>
      </c>
      <c r="F450" s="84" t="s">
        <v>2370</v>
      </c>
      <c r="G450" s="101" t="s">
        <v>2371</v>
      </c>
      <c r="H450" s="85" t="s">
        <v>2372</v>
      </c>
      <c r="I450" s="99" t="s">
        <v>2337</v>
      </c>
      <c r="J450" s="85" t="s">
        <v>323</v>
      </c>
      <c r="K450" s="110"/>
      <c r="L450" s="110"/>
      <c r="M450" s="110"/>
      <c r="N450" s="110"/>
      <c r="O450" s="110"/>
      <c r="P450" s="110"/>
    </row>
    <row r="451" spans="2:16" s="93" customFormat="1" ht="24" customHeight="1">
      <c r="B451" s="99">
        <v>2772</v>
      </c>
      <c r="C451" s="100" t="s">
        <v>2373</v>
      </c>
      <c r="D451" s="84" t="s">
        <v>682</v>
      </c>
      <c r="E451" s="101" t="s">
        <v>2374</v>
      </c>
      <c r="F451" s="84" t="s">
        <v>2375</v>
      </c>
      <c r="G451" s="101" t="s">
        <v>2376</v>
      </c>
      <c r="H451" s="85" t="s">
        <v>2372</v>
      </c>
      <c r="I451" s="99" t="s">
        <v>2337</v>
      </c>
      <c r="J451" s="85" t="s">
        <v>323</v>
      </c>
    </row>
    <row r="452" spans="2:16" s="93" customFormat="1" ht="24" customHeight="1">
      <c r="B452" s="99">
        <v>5607</v>
      </c>
      <c r="C452" s="100" t="s">
        <v>2377</v>
      </c>
      <c r="D452" s="84" t="s">
        <v>2378</v>
      </c>
      <c r="E452" s="101" t="s">
        <v>2379</v>
      </c>
      <c r="F452" s="111" t="s">
        <v>2380</v>
      </c>
      <c r="G452" s="101" t="s">
        <v>2381</v>
      </c>
      <c r="H452" s="112" t="s">
        <v>2372</v>
      </c>
      <c r="I452" s="99" t="s">
        <v>2337</v>
      </c>
      <c r="J452" s="112" t="s">
        <v>323</v>
      </c>
    </row>
    <row r="453" spans="2:16" s="93" customFormat="1" ht="24" customHeight="1">
      <c r="B453" s="99">
        <v>5133</v>
      </c>
      <c r="C453" s="100" t="s">
        <v>2382</v>
      </c>
      <c r="D453" s="84" t="s">
        <v>682</v>
      </c>
      <c r="E453" s="101" t="s">
        <v>2383</v>
      </c>
      <c r="F453" s="84" t="s">
        <v>2384</v>
      </c>
      <c r="G453" s="101" t="s">
        <v>2385</v>
      </c>
      <c r="H453" s="85" t="s">
        <v>2372</v>
      </c>
      <c r="I453" s="99" t="s">
        <v>2337</v>
      </c>
      <c r="J453" s="85" t="s">
        <v>323</v>
      </c>
    </row>
    <row r="454" spans="2:16" s="93" customFormat="1" ht="24" customHeight="1">
      <c r="B454" s="99">
        <v>5019</v>
      </c>
      <c r="C454" s="100" t="s">
        <v>2386</v>
      </c>
      <c r="D454" s="84" t="s">
        <v>650</v>
      </c>
      <c r="E454" s="101" t="s">
        <v>2387</v>
      </c>
      <c r="F454" s="84" t="s">
        <v>2388</v>
      </c>
      <c r="G454" s="101" t="s">
        <v>2389</v>
      </c>
      <c r="H454" s="85" t="s">
        <v>2372</v>
      </c>
      <c r="I454" s="99" t="s">
        <v>2337</v>
      </c>
      <c r="J454" s="85" t="s">
        <v>323</v>
      </c>
    </row>
    <row r="455" spans="2:16" s="93" customFormat="1" ht="24" customHeight="1">
      <c r="B455" s="99">
        <v>2118</v>
      </c>
      <c r="C455" s="100" t="s">
        <v>2390</v>
      </c>
      <c r="D455" s="84" t="s">
        <v>659</v>
      </c>
      <c r="E455" s="101" t="s">
        <v>2391</v>
      </c>
      <c r="F455" s="84" t="s">
        <v>2392</v>
      </c>
      <c r="G455" s="101" t="s">
        <v>2393</v>
      </c>
      <c r="H455" s="85" t="s">
        <v>2372</v>
      </c>
      <c r="I455" s="99" t="s">
        <v>2337</v>
      </c>
      <c r="J455" s="85" t="s">
        <v>323</v>
      </c>
    </row>
    <row r="456" spans="2:16" s="93" customFormat="1" ht="24" customHeight="1">
      <c r="B456" s="99">
        <v>2146</v>
      </c>
      <c r="C456" s="100" t="s">
        <v>2394</v>
      </c>
      <c r="D456" s="84" t="s">
        <v>672</v>
      </c>
      <c r="E456" s="101" t="s">
        <v>2395</v>
      </c>
      <c r="F456" s="84" t="s">
        <v>2396</v>
      </c>
      <c r="G456" s="101" t="s">
        <v>2397</v>
      </c>
      <c r="H456" s="85" t="s">
        <v>2372</v>
      </c>
      <c r="I456" s="99" t="s">
        <v>2337</v>
      </c>
      <c r="J456" s="85" t="s">
        <v>323</v>
      </c>
    </row>
    <row r="457" spans="2:16" s="93" customFormat="1" ht="24" customHeight="1">
      <c r="B457" s="99">
        <v>2117</v>
      </c>
      <c r="C457" s="100" t="s">
        <v>2398</v>
      </c>
      <c r="D457" s="84" t="s">
        <v>659</v>
      </c>
      <c r="E457" s="101" t="s">
        <v>2391</v>
      </c>
      <c r="F457" s="84" t="s">
        <v>2399</v>
      </c>
      <c r="G457" s="101" t="s">
        <v>2400</v>
      </c>
      <c r="H457" s="85" t="s">
        <v>2372</v>
      </c>
      <c r="I457" s="99" t="s">
        <v>2337</v>
      </c>
      <c r="J457" s="85" t="s">
        <v>323</v>
      </c>
    </row>
    <row r="458" spans="2:16" s="93" customFormat="1" ht="24" customHeight="1">
      <c r="B458" s="99">
        <v>1279</v>
      </c>
      <c r="C458" s="100" t="s">
        <v>2401</v>
      </c>
      <c r="D458" s="84" t="s">
        <v>821</v>
      </c>
      <c r="E458" s="101" t="s">
        <v>2402</v>
      </c>
      <c r="F458" s="84" t="s">
        <v>2403</v>
      </c>
      <c r="G458" s="101" t="s">
        <v>2404</v>
      </c>
      <c r="H458" s="85" t="s">
        <v>2372</v>
      </c>
      <c r="I458" s="99" t="s">
        <v>2337</v>
      </c>
      <c r="J458" s="85" t="s">
        <v>323</v>
      </c>
    </row>
    <row r="459" spans="2:16" s="93" customFormat="1" ht="24" customHeight="1">
      <c r="B459" s="99">
        <v>2417</v>
      </c>
      <c r="C459" s="100" t="s">
        <v>2405</v>
      </c>
      <c r="D459" s="84" t="s">
        <v>643</v>
      </c>
      <c r="E459" s="101" t="s">
        <v>2406</v>
      </c>
      <c r="F459" s="84" t="s">
        <v>2407</v>
      </c>
      <c r="G459" s="101" t="s">
        <v>2408</v>
      </c>
      <c r="H459" s="85" t="s">
        <v>2372</v>
      </c>
      <c r="I459" s="99" t="s">
        <v>2337</v>
      </c>
      <c r="J459" s="85" t="s">
        <v>323</v>
      </c>
    </row>
    <row r="460" spans="2:16" s="93" customFormat="1" ht="24" customHeight="1">
      <c r="B460" s="99">
        <v>2041</v>
      </c>
      <c r="C460" s="100" t="s">
        <v>2409</v>
      </c>
      <c r="D460" s="84" t="s">
        <v>890</v>
      </c>
      <c r="E460" s="101" t="s">
        <v>2410</v>
      </c>
      <c r="F460" s="84" t="s">
        <v>2411</v>
      </c>
      <c r="G460" s="101" t="s">
        <v>2412</v>
      </c>
      <c r="H460" s="85" t="s">
        <v>2372</v>
      </c>
      <c r="I460" s="99" t="s">
        <v>2337</v>
      </c>
      <c r="J460" s="85" t="s">
        <v>323</v>
      </c>
    </row>
    <row r="461" spans="2:16" s="93" customFormat="1" ht="24" customHeight="1">
      <c r="B461" s="99">
        <v>3247</v>
      </c>
      <c r="C461" s="100" t="s">
        <v>2413</v>
      </c>
      <c r="D461" s="84" t="s">
        <v>1261</v>
      </c>
      <c r="E461" s="101" t="s">
        <v>2414</v>
      </c>
      <c r="F461" s="84" t="s">
        <v>2415</v>
      </c>
      <c r="G461" s="101" t="s">
        <v>2416</v>
      </c>
      <c r="H461" s="85" t="s">
        <v>2372</v>
      </c>
      <c r="I461" s="99" t="s">
        <v>2337</v>
      </c>
      <c r="J461" s="85" t="s">
        <v>323</v>
      </c>
    </row>
    <row r="462" spans="2:16" s="93" customFormat="1" ht="24" customHeight="1">
      <c r="B462" s="99">
        <v>3229</v>
      </c>
      <c r="C462" s="100" t="s">
        <v>2417</v>
      </c>
      <c r="D462" s="84" t="s">
        <v>682</v>
      </c>
      <c r="E462" s="101" t="s">
        <v>2418</v>
      </c>
      <c r="F462" s="84" t="s">
        <v>2419</v>
      </c>
      <c r="G462" s="101" t="s">
        <v>2420</v>
      </c>
      <c r="H462" s="85" t="s">
        <v>2372</v>
      </c>
      <c r="I462" s="99" t="s">
        <v>2337</v>
      </c>
      <c r="J462" s="85" t="s">
        <v>323</v>
      </c>
    </row>
    <row r="463" spans="2:16" s="93" customFormat="1" ht="24" customHeight="1">
      <c r="B463" s="99">
        <v>5024</v>
      </c>
      <c r="C463" s="100" t="s">
        <v>2421</v>
      </c>
      <c r="D463" s="84" t="s">
        <v>1074</v>
      </c>
      <c r="E463" s="101" t="s">
        <v>2422</v>
      </c>
      <c r="F463" s="84" t="s">
        <v>2423</v>
      </c>
      <c r="G463" s="101" t="s">
        <v>2424</v>
      </c>
      <c r="H463" s="85" t="s">
        <v>2372</v>
      </c>
      <c r="I463" s="99" t="s">
        <v>2337</v>
      </c>
      <c r="J463" s="85" t="s">
        <v>323</v>
      </c>
    </row>
    <row r="464" spans="2:16" s="93" customFormat="1" ht="24" customHeight="1">
      <c r="B464" s="99">
        <v>5022</v>
      </c>
      <c r="C464" s="100" t="s">
        <v>2425</v>
      </c>
      <c r="D464" s="84" t="s">
        <v>643</v>
      </c>
      <c r="E464" s="101" t="s">
        <v>2426</v>
      </c>
      <c r="F464" s="84" t="s">
        <v>2427</v>
      </c>
      <c r="G464" s="101" t="s">
        <v>2424</v>
      </c>
      <c r="H464" s="85" t="s">
        <v>2372</v>
      </c>
      <c r="I464" s="99" t="s">
        <v>2337</v>
      </c>
      <c r="J464" s="85" t="s">
        <v>323</v>
      </c>
    </row>
    <row r="465" spans="2:16" s="93" customFormat="1" ht="24" customHeight="1">
      <c r="B465" s="99">
        <v>4701</v>
      </c>
      <c r="C465" s="100" t="s">
        <v>2428</v>
      </c>
      <c r="D465" s="84" t="s">
        <v>643</v>
      </c>
      <c r="E465" s="101" t="s">
        <v>2429</v>
      </c>
      <c r="F465" s="84" t="s">
        <v>2430</v>
      </c>
      <c r="G465" s="101" t="s">
        <v>2431</v>
      </c>
      <c r="H465" s="85" t="s">
        <v>2337</v>
      </c>
      <c r="I465" s="99" t="s">
        <v>2337</v>
      </c>
      <c r="J465" s="85" t="s">
        <v>323</v>
      </c>
    </row>
    <row r="466" spans="2:16" s="93" customFormat="1" ht="24" customHeight="1">
      <c r="B466" s="99">
        <v>4135</v>
      </c>
      <c r="C466" s="100" t="s">
        <v>2432</v>
      </c>
      <c r="D466" s="84" t="s">
        <v>813</v>
      </c>
      <c r="E466" s="101" t="s">
        <v>2433</v>
      </c>
      <c r="F466" s="84"/>
      <c r="G466" s="101" t="s">
        <v>2434</v>
      </c>
      <c r="H466" s="85" t="s">
        <v>2337</v>
      </c>
      <c r="I466" s="99" t="s">
        <v>2337</v>
      </c>
      <c r="J466" s="85" t="s">
        <v>323</v>
      </c>
    </row>
    <row r="467" spans="2:16" s="93" customFormat="1" ht="24" customHeight="1">
      <c r="B467" s="113">
        <v>3985</v>
      </c>
      <c r="C467" s="114" t="s">
        <v>2435</v>
      </c>
      <c r="D467" s="107" t="s">
        <v>751</v>
      </c>
      <c r="E467" s="106" t="s">
        <v>2436</v>
      </c>
      <c r="F467" s="107" t="s">
        <v>2437</v>
      </c>
      <c r="G467" s="106" t="s">
        <v>2438</v>
      </c>
      <c r="H467" s="130" t="s">
        <v>2337</v>
      </c>
      <c r="I467" s="131" t="s">
        <v>2337</v>
      </c>
      <c r="J467" s="130" t="s">
        <v>323</v>
      </c>
    </row>
    <row r="468" spans="2:16" s="93" customFormat="1" ht="24" customHeight="1">
      <c r="B468" s="103">
        <v>4011</v>
      </c>
      <c r="C468" s="104" t="s">
        <v>2439</v>
      </c>
      <c r="D468" s="84" t="s">
        <v>672</v>
      </c>
      <c r="E468" s="106" t="s">
        <v>2440</v>
      </c>
      <c r="F468" s="107"/>
      <c r="G468" s="106" t="s">
        <v>2441</v>
      </c>
      <c r="H468" s="108" t="s">
        <v>2337</v>
      </c>
      <c r="I468" s="109" t="s">
        <v>2337</v>
      </c>
      <c r="J468" s="108" t="s">
        <v>323</v>
      </c>
    </row>
    <row r="469" spans="2:16" s="93" customFormat="1" ht="24" customHeight="1">
      <c r="B469" s="103">
        <v>4062</v>
      </c>
      <c r="C469" s="104" t="s">
        <v>2442</v>
      </c>
      <c r="D469" s="105" t="s">
        <v>650</v>
      </c>
      <c r="E469" s="106" t="s">
        <v>2443</v>
      </c>
      <c r="F469" s="107"/>
      <c r="G469" s="106" t="s">
        <v>2444</v>
      </c>
      <c r="H469" s="108" t="s">
        <v>2337</v>
      </c>
      <c r="I469" s="109" t="s">
        <v>2337</v>
      </c>
      <c r="J469" s="108" t="s">
        <v>323</v>
      </c>
    </row>
    <row r="470" spans="2:16" s="93" customFormat="1" ht="24" customHeight="1">
      <c r="B470" s="103">
        <v>3983</v>
      </c>
      <c r="C470" s="104" t="s">
        <v>2445</v>
      </c>
      <c r="D470" s="105" t="s">
        <v>677</v>
      </c>
      <c r="E470" s="106" t="s">
        <v>2446</v>
      </c>
      <c r="F470" s="107"/>
      <c r="G470" s="106" t="s">
        <v>2447</v>
      </c>
      <c r="H470" s="108" t="s">
        <v>2337</v>
      </c>
      <c r="I470" s="109" t="s">
        <v>2337</v>
      </c>
      <c r="J470" s="108" t="s">
        <v>323</v>
      </c>
    </row>
    <row r="471" spans="2:16" s="93" customFormat="1" ht="24" customHeight="1">
      <c r="B471" s="99">
        <v>4559</v>
      </c>
      <c r="C471" s="100" t="s">
        <v>2448</v>
      </c>
      <c r="D471" s="84" t="s">
        <v>2449</v>
      </c>
      <c r="E471" s="101" t="s">
        <v>2450</v>
      </c>
      <c r="F471" s="84" t="s">
        <v>2451</v>
      </c>
      <c r="G471" s="101" t="s">
        <v>2452</v>
      </c>
      <c r="H471" s="85" t="s">
        <v>2337</v>
      </c>
      <c r="I471" s="99" t="s">
        <v>2337</v>
      </c>
      <c r="J471" s="85" t="s">
        <v>323</v>
      </c>
    </row>
    <row r="472" spans="2:16" s="93" customFormat="1" ht="24" customHeight="1">
      <c r="B472" s="99">
        <v>3288</v>
      </c>
      <c r="C472" s="100" t="s">
        <v>2453</v>
      </c>
      <c r="D472" s="84" t="s">
        <v>2454</v>
      </c>
      <c r="E472" s="101" t="s">
        <v>2455</v>
      </c>
      <c r="F472" s="84"/>
      <c r="G472" s="101" t="s">
        <v>2456</v>
      </c>
      <c r="H472" s="85" t="s">
        <v>2337</v>
      </c>
      <c r="I472" s="99" t="s">
        <v>2337</v>
      </c>
      <c r="J472" s="85" t="s">
        <v>323</v>
      </c>
    </row>
    <row r="473" spans="2:16" s="93" customFormat="1" ht="24" customHeight="1">
      <c r="B473" s="99">
        <v>3111</v>
      </c>
      <c r="C473" s="100" t="s">
        <v>2457</v>
      </c>
      <c r="D473" s="84" t="s">
        <v>744</v>
      </c>
      <c r="E473" s="101" t="s">
        <v>2458</v>
      </c>
      <c r="F473" s="84" t="s">
        <v>2459</v>
      </c>
      <c r="G473" s="101" t="s">
        <v>2460</v>
      </c>
      <c r="H473" s="85" t="s">
        <v>2337</v>
      </c>
      <c r="I473" s="99" t="s">
        <v>2337</v>
      </c>
      <c r="J473" s="85" t="s">
        <v>323</v>
      </c>
    </row>
    <row r="474" spans="2:16" s="93" customFormat="1" ht="24" customHeight="1">
      <c r="B474" s="99">
        <v>3221</v>
      </c>
      <c r="C474" s="100" t="s">
        <v>2461</v>
      </c>
      <c r="D474" s="84" t="s">
        <v>890</v>
      </c>
      <c r="E474" s="101" t="s">
        <v>2462</v>
      </c>
      <c r="F474" s="84" t="s">
        <v>2463</v>
      </c>
      <c r="G474" s="101" t="s">
        <v>2464</v>
      </c>
      <c r="H474" s="85" t="s">
        <v>2337</v>
      </c>
      <c r="I474" s="99" t="s">
        <v>2337</v>
      </c>
      <c r="J474" s="85" t="s">
        <v>323</v>
      </c>
    </row>
    <row r="475" spans="2:16" s="93" customFormat="1" ht="24" customHeight="1">
      <c r="B475" s="99">
        <v>3668</v>
      </c>
      <c r="C475" s="100" t="s">
        <v>2465</v>
      </c>
      <c r="D475" s="84" t="s">
        <v>643</v>
      </c>
      <c r="E475" s="101" t="s">
        <v>2466</v>
      </c>
      <c r="F475" s="84" t="s">
        <v>2467</v>
      </c>
      <c r="G475" s="101" t="s">
        <v>2468</v>
      </c>
      <c r="H475" s="85" t="s">
        <v>2337</v>
      </c>
      <c r="I475" s="99" t="s">
        <v>2337</v>
      </c>
      <c r="J475" s="85" t="s">
        <v>323</v>
      </c>
    </row>
    <row r="476" spans="2:16" s="93" customFormat="1" ht="24" customHeight="1">
      <c r="B476" s="99">
        <v>2653</v>
      </c>
      <c r="C476" s="100" t="s">
        <v>2469</v>
      </c>
      <c r="D476" s="84" t="s">
        <v>2470</v>
      </c>
      <c r="E476" s="101" t="s">
        <v>2471</v>
      </c>
      <c r="F476" s="84" t="s">
        <v>2472</v>
      </c>
      <c r="G476" s="101" t="s">
        <v>2473</v>
      </c>
      <c r="H476" s="85" t="s">
        <v>2337</v>
      </c>
      <c r="I476" s="99" t="s">
        <v>2337</v>
      </c>
      <c r="J476" s="85" t="s">
        <v>323</v>
      </c>
    </row>
    <row r="477" spans="2:16" s="93" customFormat="1" ht="24" customHeight="1">
      <c r="B477" s="99">
        <v>5345</v>
      </c>
      <c r="C477" s="100" t="s">
        <v>2474</v>
      </c>
      <c r="D477" s="84" t="s">
        <v>1216</v>
      </c>
      <c r="E477" s="101" t="s">
        <v>2475</v>
      </c>
      <c r="F477" s="84" t="s">
        <v>2476</v>
      </c>
      <c r="G477" s="101" t="s">
        <v>2477</v>
      </c>
      <c r="H477" s="85" t="s">
        <v>2337</v>
      </c>
      <c r="I477" s="99" t="s">
        <v>2337</v>
      </c>
      <c r="J477" s="85" t="s">
        <v>323</v>
      </c>
    </row>
    <row r="478" spans="2:16" s="93" customFormat="1" ht="24" customHeight="1">
      <c r="B478" s="99">
        <v>3288</v>
      </c>
      <c r="C478" s="100" t="s">
        <v>2478</v>
      </c>
      <c r="D478" s="84" t="s">
        <v>2479</v>
      </c>
      <c r="E478" s="101" t="s">
        <v>2455</v>
      </c>
      <c r="F478" s="84"/>
      <c r="G478" s="101" t="s">
        <v>2456</v>
      </c>
      <c r="H478" s="85" t="s">
        <v>2337</v>
      </c>
      <c r="I478" s="99" t="s">
        <v>2337</v>
      </c>
      <c r="J478" s="85" t="s">
        <v>323</v>
      </c>
    </row>
    <row r="479" spans="2:16" s="93" customFormat="1" ht="24" customHeight="1">
      <c r="B479" s="99">
        <v>3288</v>
      </c>
      <c r="C479" s="100" t="s">
        <v>2480</v>
      </c>
      <c r="D479" s="84" t="s">
        <v>890</v>
      </c>
      <c r="E479" s="101" t="s">
        <v>2455</v>
      </c>
      <c r="F479" s="84"/>
      <c r="G479" s="101" t="s">
        <v>2456</v>
      </c>
      <c r="H479" s="85" t="s">
        <v>2337</v>
      </c>
      <c r="I479" s="99" t="s">
        <v>2337</v>
      </c>
      <c r="J479" s="85" t="s">
        <v>323</v>
      </c>
    </row>
    <row r="480" spans="2:16" s="93" customFormat="1" ht="24" customHeight="1">
      <c r="B480" s="99">
        <v>2392</v>
      </c>
      <c r="C480" s="100" t="s">
        <v>2481</v>
      </c>
      <c r="D480" s="84" t="s">
        <v>1646</v>
      </c>
      <c r="E480" s="101" t="s">
        <v>2482</v>
      </c>
      <c r="F480" s="84" t="s">
        <v>2483</v>
      </c>
      <c r="G480" s="132" t="s">
        <v>2484</v>
      </c>
      <c r="H480" s="85" t="s">
        <v>2337</v>
      </c>
      <c r="I480" s="99" t="s">
        <v>2337</v>
      </c>
      <c r="J480" s="85" t="s">
        <v>323</v>
      </c>
      <c r="K480" s="110"/>
      <c r="L480" s="110"/>
      <c r="M480" s="110"/>
      <c r="N480" s="110"/>
      <c r="O480" s="110"/>
      <c r="P480" s="110"/>
    </row>
    <row r="481" spans="2:16" s="93" customFormat="1" ht="24" customHeight="1">
      <c r="B481" s="99">
        <v>2090</v>
      </c>
      <c r="C481" s="100" t="s">
        <v>2485</v>
      </c>
      <c r="D481" s="84" t="s">
        <v>1646</v>
      </c>
      <c r="E481" s="101" t="s">
        <v>2486</v>
      </c>
      <c r="F481" s="84" t="s">
        <v>2487</v>
      </c>
      <c r="G481" s="101" t="s">
        <v>2488</v>
      </c>
      <c r="H481" s="85" t="s">
        <v>2337</v>
      </c>
      <c r="I481" s="99" t="s">
        <v>2337</v>
      </c>
      <c r="J481" s="85" t="s">
        <v>323</v>
      </c>
    </row>
    <row r="482" spans="2:16" s="93" customFormat="1" ht="24" customHeight="1">
      <c r="B482" s="99">
        <v>3288</v>
      </c>
      <c r="C482" s="100" t="s">
        <v>2489</v>
      </c>
      <c r="D482" s="84" t="s">
        <v>1216</v>
      </c>
      <c r="E482" s="101" t="s">
        <v>2455</v>
      </c>
      <c r="F482" s="84"/>
      <c r="G482" s="101" t="s">
        <v>2456</v>
      </c>
      <c r="H482" s="85" t="s">
        <v>2337</v>
      </c>
      <c r="I482" s="99" t="s">
        <v>2337</v>
      </c>
      <c r="J482" s="85" t="s">
        <v>323</v>
      </c>
    </row>
    <row r="483" spans="2:16" s="93" customFormat="1" ht="24" customHeight="1">
      <c r="B483" s="99">
        <v>2653</v>
      </c>
      <c r="C483" s="100" t="s">
        <v>2490</v>
      </c>
      <c r="D483" s="84" t="s">
        <v>890</v>
      </c>
      <c r="E483" s="101" t="s">
        <v>2471</v>
      </c>
      <c r="F483" s="84" t="s">
        <v>2472</v>
      </c>
      <c r="G483" s="101" t="s">
        <v>2473</v>
      </c>
      <c r="H483" s="85" t="s">
        <v>2337</v>
      </c>
      <c r="I483" s="99" t="s">
        <v>2337</v>
      </c>
      <c r="J483" s="85" t="s">
        <v>323</v>
      </c>
    </row>
    <row r="484" spans="2:16" s="93" customFormat="1" ht="24" customHeight="1">
      <c r="B484" s="99">
        <v>3214</v>
      </c>
      <c r="C484" s="100" t="s">
        <v>2491</v>
      </c>
      <c r="D484" s="84" t="s">
        <v>890</v>
      </c>
      <c r="E484" s="101" t="s">
        <v>2492</v>
      </c>
      <c r="F484" s="84" t="s">
        <v>2493</v>
      </c>
      <c r="G484" s="101" t="s">
        <v>2494</v>
      </c>
      <c r="H484" s="85" t="s">
        <v>2337</v>
      </c>
      <c r="I484" s="99" t="s">
        <v>2337</v>
      </c>
      <c r="J484" s="85" t="s">
        <v>323</v>
      </c>
    </row>
    <row r="485" spans="2:16" s="93" customFormat="1" ht="24" customHeight="1">
      <c r="B485" s="113">
        <v>3968</v>
      </c>
      <c r="C485" s="114" t="s">
        <v>2495</v>
      </c>
      <c r="D485" s="84" t="s">
        <v>821</v>
      </c>
      <c r="E485" s="106" t="s">
        <v>2496</v>
      </c>
      <c r="F485" s="107" t="s">
        <v>2497</v>
      </c>
      <c r="G485" s="106" t="s">
        <v>2498</v>
      </c>
      <c r="H485" s="108" t="s">
        <v>2337</v>
      </c>
      <c r="I485" s="109" t="s">
        <v>2337</v>
      </c>
      <c r="J485" s="108" t="s">
        <v>323</v>
      </c>
    </row>
    <row r="486" spans="2:16" s="93" customFormat="1" ht="24" customHeight="1">
      <c r="B486" s="103">
        <v>4050</v>
      </c>
      <c r="C486" s="104" t="s">
        <v>2499</v>
      </c>
      <c r="D486" s="84" t="s">
        <v>655</v>
      </c>
      <c r="E486" s="106" t="s">
        <v>2500</v>
      </c>
      <c r="F486" s="107"/>
      <c r="G486" s="106" t="s">
        <v>2501</v>
      </c>
      <c r="H486" s="108" t="s">
        <v>2337</v>
      </c>
      <c r="I486" s="109" t="s">
        <v>2337</v>
      </c>
      <c r="J486" s="108" t="s">
        <v>323</v>
      </c>
    </row>
    <row r="487" spans="2:16" s="93" customFormat="1" ht="24" customHeight="1">
      <c r="B487" s="99">
        <v>3981</v>
      </c>
      <c r="C487" s="100" t="s">
        <v>2502</v>
      </c>
      <c r="D487" s="84" t="s">
        <v>655</v>
      </c>
      <c r="E487" s="101" t="s">
        <v>2503</v>
      </c>
      <c r="F487" s="84"/>
      <c r="G487" s="101" t="s">
        <v>2504</v>
      </c>
      <c r="H487" s="85" t="s">
        <v>2337</v>
      </c>
      <c r="I487" s="99" t="s">
        <v>2337</v>
      </c>
      <c r="J487" s="85" t="s">
        <v>323</v>
      </c>
    </row>
    <row r="488" spans="2:16" s="93" customFormat="1" ht="24" customHeight="1">
      <c r="B488" s="103">
        <v>4118</v>
      </c>
      <c r="C488" s="104" t="s">
        <v>2505</v>
      </c>
      <c r="D488" s="107" t="s">
        <v>751</v>
      </c>
      <c r="E488" s="106" t="s">
        <v>2506</v>
      </c>
      <c r="F488" s="107" t="s">
        <v>2507</v>
      </c>
      <c r="G488" s="106" t="s">
        <v>2508</v>
      </c>
      <c r="H488" s="108" t="s">
        <v>2337</v>
      </c>
      <c r="I488" s="109" t="s">
        <v>2337</v>
      </c>
      <c r="J488" s="108" t="s">
        <v>323</v>
      </c>
    </row>
    <row r="489" spans="2:16" s="93" customFormat="1" ht="24" customHeight="1">
      <c r="B489" s="103">
        <v>4124</v>
      </c>
      <c r="C489" s="104" t="s">
        <v>2509</v>
      </c>
      <c r="D489" s="84" t="s">
        <v>682</v>
      </c>
      <c r="E489" s="106" t="s">
        <v>2510</v>
      </c>
      <c r="F489" s="107"/>
      <c r="G489" s="106" t="s">
        <v>2511</v>
      </c>
      <c r="H489" s="108" t="s">
        <v>2337</v>
      </c>
      <c r="I489" s="109" t="s">
        <v>2337</v>
      </c>
      <c r="J489" s="108" t="s">
        <v>323</v>
      </c>
    </row>
    <row r="490" spans="2:16" s="93" customFormat="1" ht="24" customHeight="1">
      <c r="B490" s="99">
        <v>5750</v>
      </c>
      <c r="C490" s="100" t="s">
        <v>2512</v>
      </c>
      <c r="D490" s="111" t="s">
        <v>650</v>
      </c>
      <c r="E490" s="101" t="s">
        <v>2513</v>
      </c>
      <c r="F490" s="111" t="s">
        <v>2514</v>
      </c>
      <c r="G490" s="101" t="s">
        <v>2515</v>
      </c>
      <c r="H490" s="112" t="s">
        <v>2337</v>
      </c>
      <c r="I490" s="99" t="s">
        <v>2337</v>
      </c>
      <c r="J490" s="112" t="s">
        <v>323</v>
      </c>
    </row>
    <row r="491" spans="2:16" s="93" customFormat="1" ht="24" customHeight="1">
      <c r="B491" s="99">
        <v>5898</v>
      </c>
      <c r="C491" s="100" t="s">
        <v>2516</v>
      </c>
      <c r="D491" s="111" t="s">
        <v>2517</v>
      </c>
      <c r="E491" s="101" t="s">
        <v>2518</v>
      </c>
      <c r="F491" s="111" t="s">
        <v>2519</v>
      </c>
      <c r="G491" s="101" t="s">
        <v>2520</v>
      </c>
      <c r="H491" s="112" t="s">
        <v>2337</v>
      </c>
      <c r="I491" s="99" t="s">
        <v>2337</v>
      </c>
      <c r="J491" s="112" t="s">
        <v>323</v>
      </c>
    </row>
    <row r="492" spans="2:16" s="93" customFormat="1" ht="24" customHeight="1">
      <c r="B492" s="99">
        <v>2102</v>
      </c>
      <c r="C492" s="100" t="s">
        <v>2521</v>
      </c>
      <c r="D492" s="84" t="s">
        <v>2167</v>
      </c>
      <c r="E492" s="101" t="s">
        <v>2522</v>
      </c>
      <c r="F492" s="84" t="s">
        <v>2523</v>
      </c>
      <c r="G492" s="101" t="s">
        <v>2524</v>
      </c>
      <c r="H492" s="85" t="s">
        <v>2525</v>
      </c>
      <c r="I492" s="99" t="s">
        <v>2337</v>
      </c>
      <c r="J492" s="85" t="s">
        <v>323</v>
      </c>
    </row>
    <row r="493" spans="2:16" s="93" customFormat="1" ht="24" customHeight="1">
      <c r="B493" s="99">
        <v>3179</v>
      </c>
      <c r="C493" s="100" t="s">
        <v>2526</v>
      </c>
      <c r="D493" s="84" t="s">
        <v>643</v>
      </c>
      <c r="E493" s="101" t="s">
        <v>2527</v>
      </c>
      <c r="F493" s="84" t="s">
        <v>2528</v>
      </c>
      <c r="G493" s="101" t="s">
        <v>2529</v>
      </c>
      <c r="H493" s="85" t="s">
        <v>2530</v>
      </c>
      <c r="I493" s="99" t="s">
        <v>2530</v>
      </c>
      <c r="J493" s="85" t="s">
        <v>323</v>
      </c>
    </row>
    <row r="494" spans="2:16" ht="24" customHeight="1">
      <c r="B494" s="103">
        <v>4107</v>
      </c>
      <c r="C494" s="104" t="s">
        <v>2531</v>
      </c>
      <c r="D494" s="84" t="s">
        <v>655</v>
      </c>
      <c r="E494" s="106" t="s">
        <v>2532</v>
      </c>
      <c r="F494" s="107"/>
      <c r="G494" s="106" t="s">
        <v>2533</v>
      </c>
      <c r="H494" s="108" t="s">
        <v>2530</v>
      </c>
      <c r="I494" s="109" t="s">
        <v>2530</v>
      </c>
      <c r="J494" s="108" t="s">
        <v>323</v>
      </c>
      <c r="K494" s="93"/>
      <c r="L494" s="93"/>
      <c r="M494" s="93"/>
      <c r="N494" s="93"/>
      <c r="O494" s="93"/>
      <c r="P494" s="93"/>
    </row>
    <row r="495" spans="2:16" ht="24" customHeight="1">
      <c r="B495" s="103">
        <v>4111</v>
      </c>
      <c r="C495" s="104" t="s">
        <v>2534</v>
      </c>
      <c r="D495" s="84" t="s">
        <v>655</v>
      </c>
      <c r="E495" s="106" t="s">
        <v>2532</v>
      </c>
      <c r="F495" s="107"/>
      <c r="G495" s="106" t="s">
        <v>2533</v>
      </c>
      <c r="H495" s="108" t="s">
        <v>2530</v>
      </c>
      <c r="I495" s="109" t="s">
        <v>2530</v>
      </c>
      <c r="J495" s="108" t="s">
        <v>323</v>
      </c>
      <c r="K495" s="93"/>
      <c r="L495" s="93"/>
      <c r="M495" s="93"/>
      <c r="N495" s="93"/>
      <c r="O495" s="93"/>
      <c r="P495" s="93"/>
    </row>
    <row r="496" spans="2:16" ht="24" customHeight="1">
      <c r="B496" s="99">
        <v>3212</v>
      </c>
      <c r="C496" s="100" t="s">
        <v>2535</v>
      </c>
      <c r="D496" s="84" t="s">
        <v>643</v>
      </c>
      <c r="E496" s="101" t="s">
        <v>2536</v>
      </c>
      <c r="F496" s="84" t="s">
        <v>2537</v>
      </c>
      <c r="G496" s="101" t="s">
        <v>2538</v>
      </c>
      <c r="H496" s="85" t="s">
        <v>2539</v>
      </c>
      <c r="I496" s="99" t="s">
        <v>2540</v>
      </c>
      <c r="J496" s="85" t="s">
        <v>323</v>
      </c>
      <c r="K496" s="93"/>
      <c r="L496" s="93"/>
      <c r="M496" s="93"/>
      <c r="N496" s="93"/>
      <c r="O496" s="93"/>
      <c r="P496" s="93"/>
    </row>
    <row r="497" spans="2:16" ht="24" customHeight="1">
      <c r="B497" s="99">
        <v>2237</v>
      </c>
      <c r="C497" s="100" t="s">
        <v>2541</v>
      </c>
      <c r="D497" s="84" t="s">
        <v>744</v>
      </c>
      <c r="E497" s="101" t="s">
        <v>2542</v>
      </c>
      <c r="F497" s="84" t="s">
        <v>2543</v>
      </c>
      <c r="G497" s="101" t="s">
        <v>2544</v>
      </c>
      <c r="H497" s="85" t="s">
        <v>2545</v>
      </c>
      <c r="I497" s="99" t="s">
        <v>2540</v>
      </c>
      <c r="J497" s="85" t="s">
        <v>323</v>
      </c>
      <c r="K497" s="93"/>
      <c r="L497" s="93"/>
      <c r="M497" s="93"/>
      <c r="N497" s="93"/>
      <c r="O497" s="93"/>
      <c r="P497" s="93"/>
    </row>
    <row r="498" spans="2:16" ht="24" customHeight="1">
      <c r="B498" s="99">
        <v>156</v>
      </c>
      <c r="C498" s="100" t="s">
        <v>2546</v>
      </c>
      <c r="D498" s="84" t="s">
        <v>821</v>
      </c>
      <c r="E498" s="101" t="s">
        <v>2547</v>
      </c>
      <c r="F498" s="84" t="s">
        <v>2548</v>
      </c>
      <c r="G498" s="101" t="s">
        <v>2549</v>
      </c>
      <c r="H498" s="85" t="s">
        <v>2550</v>
      </c>
      <c r="I498" s="99" t="s">
        <v>2540</v>
      </c>
      <c r="J498" s="85" t="s">
        <v>323</v>
      </c>
      <c r="K498" s="93"/>
      <c r="L498" s="93"/>
      <c r="M498" s="93"/>
      <c r="N498" s="93"/>
      <c r="O498" s="93"/>
      <c r="P498" s="93"/>
    </row>
    <row r="499" spans="2:16" ht="24" customHeight="1">
      <c r="B499" s="99">
        <v>5859</v>
      </c>
      <c r="C499" s="100" t="s">
        <v>2551</v>
      </c>
      <c r="D499" s="111" t="s">
        <v>643</v>
      </c>
      <c r="E499" s="101" t="s">
        <v>2552</v>
      </c>
      <c r="F499" s="111" t="s">
        <v>2553</v>
      </c>
      <c r="G499" s="101" t="s">
        <v>2554</v>
      </c>
      <c r="H499" s="112" t="s">
        <v>2540</v>
      </c>
      <c r="I499" s="99" t="s">
        <v>2540</v>
      </c>
      <c r="J499" s="112" t="s">
        <v>323</v>
      </c>
      <c r="K499" s="93"/>
      <c r="L499" s="93"/>
      <c r="M499" s="93"/>
      <c r="N499" s="93"/>
      <c r="O499" s="93"/>
      <c r="P499" s="93"/>
    </row>
    <row r="500" spans="2:16" ht="24" customHeight="1">
      <c r="B500" s="99">
        <v>1969</v>
      </c>
      <c r="C500" s="100" t="s">
        <v>2555</v>
      </c>
      <c r="D500" s="84" t="s">
        <v>682</v>
      </c>
      <c r="E500" s="101" t="s">
        <v>2556</v>
      </c>
      <c r="F500" s="84"/>
      <c r="G500" s="101" t="s">
        <v>2557</v>
      </c>
      <c r="H500" s="85" t="s">
        <v>2558</v>
      </c>
      <c r="I500" s="99" t="s">
        <v>2558</v>
      </c>
      <c r="J500" s="85" t="s">
        <v>372</v>
      </c>
      <c r="K500" s="93"/>
      <c r="L500" s="93"/>
      <c r="M500" s="93"/>
      <c r="N500" s="93"/>
      <c r="O500" s="93"/>
      <c r="P500" s="93"/>
    </row>
    <row r="501" spans="2:16" ht="24" customHeight="1">
      <c r="B501" s="99">
        <v>1969</v>
      </c>
      <c r="C501" s="84" t="s">
        <v>2559</v>
      </c>
      <c r="D501" s="101" t="s">
        <v>682</v>
      </c>
      <c r="E501" s="101" t="s">
        <v>2556</v>
      </c>
      <c r="F501" s="84" t="s">
        <v>2560</v>
      </c>
      <c r="G501" s="133" t="s">
        <v>2557</v>
      </c>
      <c r="H501" s="99" t="s">
        <v>2558</v>
      </c>
      <c r="I501" s="99" t="s">
        <v>2558</v>
      </c>
      <c r="J501" s="85" t="s">
        <v>372</v>
      </c>
      <c r="K501" s="93"/>
      <c r="L501" s="93"/>
      <c r="M501" s="93"/>
      <c r="N501" s="93"/>
      <c r="O501" s="93"/>
      <c r="P501" s="93"/>
    </row>
    <row r="502" spans="2:16" ht="24" customHeight="1">
      <c r="B502" s="99">
        <v>3239</v>
      </c>
      <c r="C502" s="100" t="s">
        <v>2561</v>
      </c>
      <c r="D502" s="84" t="s">
        <v>643</v>
      </c>
      <c r="E502" s="101" t="s">
        <v>2562</v>
      </c>
      <c r="F502" s="84" t="s">
        <v>2563</v>
      </c>
      <c r="G502" s="101" t="s">
        <v>2564</v>
      </c>
      <c r="H502" s="85" t="s">
        <v>2565</v>
      </c>
      <c r="I502" s="99" t="s">
        <v>2565</v>
      </c>
      <c r="J502" s="85" t="s">
        <v>372</v>
      </c>
      <c r="K502" s="93"/>
      <c r="L502" s="93"/>
      <c r="M502" s="93"/>
      <c r="N502" s="93"/>
      <c r="O502" s="93"/>
      <c r="P502" s="93"/>
    </row>
    <row r="503" spans="2:16" ht="24" customHeight="1">
      <c r="B503" s="99">
        <v>3240</v>
      </c>
      <c r="C503" s="100" t="s">
        <v>2566</v>
      </c>
      <c r="D503" s="84" t="s">
        <v>643</v>
      </c>
      <c r="E503" s="101" t="s">
        <v>2562</v>
      </c>
      <c r="F503" s="84" t="s">
        <v>2567</v>
      </c>
      <c r="G503" s="101" t="s">
        <v>2564</v>
      </c>
      <c r="H503" s="85" t="s">
        <v>2565</v>
      </c>
      <c r="I503" s="99" t="s">
        <v>2565</v>
      </c>
      <c r="J503" s="85" t="s">
        <v>372</v>
      </c>
      <c r="K503" s="93"/>
      <c r="L503" s="93"/>
      <c r="M503" s="93"/>
      <c r="N503" s="93"/>
      <c r="O503" s="93"/>
      <c r="P503" s="93"/>
    </row>
    <row r="504" spans="2:16" ht="24" customHeight="1">
      <c r="B504" s="99">
        <v>5017</v>
      </c>
      <c r="C504" s="100" t="s">
        <v>2568</v>
      </c>
      <c r="D504" s="84" t="s">
        <v>655</v>
      </c>
      <c r="E504" s="101" t="s">
        <v>2569</v>
      </c>
      <c r="F504" s="84" t="s">
        <v>2570</v>
      </c>
      <c r="G504" s="101" t="s">
        <v>2571</v>
      </c>
      <c r="H504" s="85" t="s">
        <v>2572</v>
      </c>
      <c r="I504" s="99" t="s">
        <v>2572</v>
      </c>
      <c r="J504" s="85" t="s">
        <v>372</v>
      </c>
      <c r="K504" s="93"/>
      <c r="L504" s="93"/>
      <c r="M504" s="93"/>
      <c r="N504" s="93"/>
      <c r="O504" s="93"/>
      <c r="P504" s="93"/>
    </row>
    <row r="505" spans="2:16" ht="24" customHeight="1">
      <c r="B505" s="99">
        <v>5453</v>
      </c>
      <c r="C505" s="100" t="s">
        <v>2573</v>
      </c>
      <c r="D505" s="84" t="s">
        <v>813</v>
      </c>
      <c r="E505" s="101" t="s">
        <v>2574</v>
      </c>
      <c r="F505" s="84" t="s">
        <v>2575</v>
      </c>
      <c r="G505" s="101" t="s">
        <v>2576</v>
      </c>
      <c r="H505" s="85" t="s">
        <v>2577</v>
      </c>
      <c r="I505" s="99" t="s">
        <v>2577</v>
      </c>
      <c r="J505" s="85" t="s">
        <v>372</v>
      </c>
      <c r="K505" s="93"/>
      <c r="L505" s="93"/>
      <c r="M505" s="93"/>
      <c r="N505" s="93"/>
      <c r="O505" s="93"/>
      <c r="P505" s="93"/>
    </row>
    <row r="506" spans="2:16" ht="24" customHeight="1">
      <c r="B506" s="99">
        <v>2220</v>
      </c>
      <c r="C506" s="100" t="s">
        <v>2578</v>
      </c>
      <c r="D506" s="84" t="s">
        <v>2579</v>
      </c>
      <c r="E506" s="101" t="s">
        <v>2580</v>
      </c>
      <c r="F506" s="84" t="s">
        <v>2581</v>
      </c>
      <c r="G506" s="101" t="s">
        <v>2582</v>
      </c>
      <c r="H506" s="85" t="s">
        <v>2583</v>
      </c>
      <c r="I506" s="99" t="s">
        <v>2583</v>
      </c>
      <c r="J506" s="85" t="s">
        <v>372</v>
      </c>
      <c r="K506" s="93"/>
      <c r="L506" s="93"/>
      <c r="M506" s="93"/>
      <c r="N506" s="93"/>
      <c r="O506" s="93"/>
      <c r="P506" s="93"/>
    </row>
    <row r="507" spans="2:16" ht="24" customHeight="1">
      <c r="B507" s="99">
        <v>3241</v>
      </c>
      <c r="C507" s="100" t="s">
        <v>2584</v>
      </c>
      <c r="D507" s="84" t="s">
        <v>643</v>
      </c>
      <c r="E507" s="101" t="s">
        <v>2585</v>
      </c>
      <c r="F507" s="84" t="s">
        <v>2586</v>
      </c>
      <c r="G507" s="101" t="s">
        <v>2587</v>
      </c>
      <c r="H507" s="85" t="s">
        <v>2583</v>
      </c>
      <c r="I507" s="99" t="s">
        <v>2583</v>
      </c>
      <c r="J507" s="85" t="s">
        <v>372</v>
      </c>
      <c r="K507" s="93"/>
      <c r="L507" s="93"/>
      <c r="M507" s="93"/>
      <c r="N507" s="93"/>
      <c r="O507" s="93"/>
      <c r="P507" s="93"/>
    </row>
    <row r="508" spans="2:16" ht="24" customHeight="1">
      <c r="B508" s="99">
        <v>1989</v>
      </c>
      <c r="C508" s="100" t="s">
        <v>2588</v>
      </c>
      <c r="D508" s="84" t="s">
        <v>643</v>
      </c>
      <c r="E508" s="101" t="s">
        <v>2589</v>
      </c>
      <c r="F508" s="84" t="s">
        <v>2590</v>
      </c>
      <c r="G508" s="101" t="s">
        <v>2591</v>
      </c>
      <c r="H508" s="85" t="s">
        <v>2583</v>
      </c>
      <c r="I508" s="99" t="s">
        <v>2583</v>
      </c>
      <c r="J508" s="85" t="s">
        <v>372</v>
      </c>
    </row>
    <row r="509" spans="2:16" ht="24" customHeight="1">
      <c r="B509" s="99">
        <v>3283</v>
      </c>
      <c r="C509" s="100" t="s">
        <v>2592</v>
      </c>
      <c r="D509" s="84" t="s">
        <v>643</v>
      </c>
      <c r="E509" s="101" t="s">
        <v>2593</v>
      </c>
      <c r="F509" s="84" t="s">
        <v>2594</v>
      </c>
      <c r="G509" s="101" t="s">
        <v>2595</v>
      </c>
      <c r="H509" s="85" t="s">
        <v>2583</v>
      </c>
      <c r="I509" s="99" t="s">
        <v>2583</v>
      </c>
      <c r="J509" s="85" t="s">
        <v>372</v>
      </c>
    </row>
    <row r="510" spans="2:16" ht="24" customHeight="1">
      <c r="B510" s="99">
        <v>2431</v>
      </c>
      <c r="C510" s="100" t="s">
        <v>2596</v>
      </c>
      <c r="D510" s="84" t="s">
        <v>672</v>
      </c>
      <c r="E510" s="101" t="s">
        <v>2597</v>
      </c>
      <c r="F510" s="84" t="s">
        <v>2598</v>
      </c>
      <c r="G510" s="101" t="s">
        <v>2599</v>
      </c>
      <c r="H510" s="85" t="s">
        <v>2583</v>
      </c>
      <c r="I510" s="99" t="s">
        <v>2583</v>
      </c>
      <c r="J510" s="85" t="s">
        <v>372</v>
      </c>
    </row>
    <row r="511" spans="2:16" ht="24" customHeight="1">
      <c r="B511" s="99">
        <v>3242</v>
      </c>
      <c r="C511" s="100" t="s">
        <v>2600</v>
      </c>
      <c r="D511" s="84" t="s">
        <v>643</v>
      </c>
      <c r="E511" s="101" t="s">
        <v>2585</v>
      </c>
      <c r="F511" s="84"/>
      <c r="G511" s="101" t="s">
        <v>2587</v>
      </c>
      <c r="H511" s="85" t="s">
        <v>2583</v>
      </c>
      <c r="I511" s="99" t="s">
        <v>2583</v>
      </c>
      <c r="J511" s="85" t="s">
        <v>372</v>
      </c>
    </row>
    <row r="512" spans="2:16" ht="24" customHeight="1">
      <c r="B512" s="99">
        <v>1989</v>
      </c>
      <c r="C512" s="100" t="s">
        <v>2601</v>
      </c>
      <c r="D512" s="84" t="s">
        <v>643</v>
      </c>
      <c r="E512" s="101" t="s">
        <v>2589</v>
      </c>
      <c r="F512" s="84" t="s">
        <v>2602</v>
      </c>
      <c r="G512" s="101" t="s">
        <v>2591</v>
      </c>
      <c r="H512" s="85" t="s">
        <v>2583</v>
      </c>
      <c r="I512" s="99" t="s">
        <v>2583</v>
      </c>
      <c r="J512" s="85" t="s">
        <v>372</v>
      </c>
    </row>
    <row r="513" spans="2:10" ht="24" customHeight="1">
      <c r="B513" s="99">
        <v>2278</v>
      </c>
      <c r="C513" s="100" t="s">
        <v>2603</v>
      </c>
      <c r="D513" s="84" t="s">
        <v>643</v>
      </c>
      <c r="E513" s="101" t="s">
        <v>2604</v>
      </c>
      <c r="F513" s="84" t="s">
        <v>2605</v>
      </c>
      <c r="G513" s="101" t="s">
        <v>2606</v>
      </c>
      <c r="H513" s="85" t="s">
        <v>2583</v>
      </c>
      <c r="I513" s="99" t="s">
        <v>2583</v>
      </c>
      <c r="J513" s="85" t="s">
        <v>372</v>
      </c>
    </row>
    <row r="514" spans="2:10" ht="24" customHeight="1">
      <c r="B514" s="99">
        <v>2018</v>
      </c>
      <c r="C514" s="100" t="s">
        <v>2607</v>
      </c>
      <c r="D514" s="84" t="s">
        <v>655</v>
      </c>
      <c r="E514" s="101" t="s">
        <v>2608</v>
      </c>
      <c r="F514" s="84" t="s">
        <v>2609</v>
      </c>
      <c r="G514" s="101" t="s">
        <v>2610</v>
      </c>
      <c r="H514" s="85" t="s">
        <v>2583</v>
      </c>
      <c r="I514" s="99" t="s">
        <v>2583</v>
      </c>
      <c r="J514" s="85" t="s">
        <v>372</v>
      </c>
    </row>
    <row r="515" spans="2:10" ht="24" customHeight="1">
      <c r="B515" s="103">
        <v>4000</v>
      </c>
      <c r="C515" s="104" t="s">
        <v>2611</v>
      </c>
      <c r="D515" s="105" t="s">
        <v>764</v>
      </c>
      <c r="E515" s="106" t="s">
        <v>2612</v>
      </c>
      <c r="F515" s="107"/>
      <c r="G515" s="106" t="s">
        <v>2613</v>
      </c>
      <c r="H515" s="108" t="s">
        <v>2583</v>
      </c>
      <c r="I515" s="109" t="s">
        <v>2583</v>
      </c>
      <c r="J515" s="108" t="s">
        <v>372</v>
      </c>
    </row>
    <row r="516" spans="2:10" ht="24" customHeight="1">
      <c r="B516" s="113">
        <v>4021</v>
      </c>
      <c r="C516" s="114" t="s">
        <v>2614</v>
      </c>
      <c r="D516" s="107" t="s">
        <v>650</v>
      </c>
      <c r="E516" s="106" t="s">
        <v>2615</v>
      </c>
      <c r="F516" s="107" t="s">
        <v>2616</v>
      </c>
      <c r="G516" s="106" t="s">
        <v>2617</v>
      </c>
      <c r="H516" s="108" t="s">
        <v>2583</v>
      </c>
      <c r="I516" s="109" t="s">
        <v>2583</v>
      </c>
      <c r="J516" s="108" t="s">
        <v>372</v>
      </c>
    </row>
    <row r="517" spans="2:10" ht="24" customHeight="1">
      <c r="B517" s="99">
        <v>5747</v>
      </c>
      <c r="C517" s="134" t="s">
        <v>2618</v>
      </c>
      <c r="D517" s="84" t="s">
        <v>643</v>
      </c>
      <c r="E517" s="101" t="s">
        <v>2619</v>
      </c>
      <c r="F517" s="111" t="s">
        <v>2620</v>
      </c>
      <c r="G517" s="135" t="s">
        <v>2621</v>
      </c>
      <c r="H517" s="108" t="s">
        <v>2583</v>
      </c>
      <c r="I517" s="109" t="s">
        <v>2583</v>
      </c>
      <c r="J517" s="108" t="s">
        <v>372</v>
      </c>
    </row>
    <row r="518" spans="2:10" ht="24" customHeight="1">
      <c r="B518" s="99">
        <v>2827</v>
      </c>
      <c r="C518" s="100" t="s">
        <v>2622</v>
      </c>
      <c r="D518" s="84" t="s">
        <v>659</v>
      </c>
      <c r="E518" s="101" t="s">
        <v>2623</v>
      </c>
      <c r="F518" s="84" t="s">
        <v>2624</v>
      </c>
      <c r="G518" s="101" t="s">
        <v>2625</v>
      </c>
      <c r="H518" s="85" t="s">
        <v>2583</v>
      </c>
      <c r="I518" s="99" t="s">
        <v>2583</v>
      </c>
      <c r="J518" s="85" t="s">
        <v>372</v>
      </c>
    </row>
    <row r="519" spans="2:10" ht="24" customHeight="1">
      <c r="B519" s="113">
        <v>5085</v>
      </c>
      <c r="C519" s="114" t="s">
        <v>2626</v>
      </c>
      <c r="D519" s="107" t="s">
        <v>655</v>
      </c>
      <c r="E519" s="106" t="s">
        <v>2627</v>
      </c>
      <c r="F519" s="107" t="s">
        <v>2628</v>
      </c>
      <c r="G519" s="106" t="s">
        <v>2629</v>
      </c>
      <c r="H519" s="108" t="s">
        <v>2583</v>
      </c>
      <c r="I519" s="109" t="s">
        <v>2583</v>
      </c>
      <c r="J519" s="108" t="s">
        <v>372</v>
      </c>
    </row>
    <row r="520" spans="2:10" ht="24" customHeight="1">
      <c r="B520" s="99">
        <v>4093</v>
      </c>
      <c r="C520" s="100" t="s">
        <v>2630</v>
      </c>
      <c r="D520" s="84" t="s">
        <v>655</v>
      </c>
      <c r="E520" s="101" t="s">
        <v>2631</v>
      </c>
      <c r="F520" s="84"/>
      <c r="G520" s="101" t="s">
        <v>2632</v>
      </c>
      <c r="H520" s="85" t="s">
        <v>2583</v>
      </c>
      <c r="I520" s="99" t="s">
        <v>2583</v>
      </c>
      <c r="J520" s="85" t="s">
        <v>372</v>
      </c>
    </row>
    <row r="521" spans="2:10" ht="24" customHeight="1">
      <c r="B521" s="99">
        <v>5734</v>
      </c>
      <c r="C521" s="100" t="s">
        <v>2633</v>
      </c>
      <c r="D521" s="111" t="s">
        <v>650</v>
      </c>
      <c r="E521" s="101" t="s">
        <v>2634</v>
      </c>
      <c r="F521" s="111" t="s">
        <v>2635</v>
      </c>
      <c r="G521" s="101" t="s">
        <v>2636</v>
      </c>
      <c r="H521" s="112" t="s">
        <v>2583</v>
      </c>
      <c r="I521" s="99" t="s">
        <v>2583</v>
      </c>
      <c r="J521" s="112" t="s">
        <v>372</v>
      </c>
    </row>
    <row r="522" spans="2:10" ht="24" customHeight="1">
      <c r="B522" s="99">
        <v>5322</v>
      </c>
      <c r="C522" s="100" t="s">
        <v>2637</v>
      </c>
      <c r="D522" s="84" t="s">
        <v>643</v>
      </c>
      <c r="E522" s="101" t="s">
        <v>2638</v>
      </c>
      <c r="F522" s="84"/>
      <c r="G522" s="101" t="s">
        <v>2639</v>
      </c>
      <c r="H522" s="85" t="s">
        <v>2640</v>
      </c>
      <c r="I522" s="99" t="s">
        <v>2583</v>
      </c>
      <c r="J522" s="85" t="s">
        <v>372</v>
      </c>
    </row>
    <row r="523" spans="2:10" ht="24" customHeight="1">
      <c r="B523" s="99">
        <v>2276</v>
      </c>
      <c r="C523" s="100" t="s">
        <v>2641</v>
      </c>
      <c r="D523" s="84" t="s">
        <v>650</v>
      </c>
      <c r="E523" s="101" t="s">
        <v>2642</v>
      </c>
      <c r="F523" s="84" t="s">
        <v>2643</v>
      </c>
      <c r="G523" s="101" t="s">
        <v>2644</v>
      </c>
      <c r="H523" s="85" t="s">
        <v>2645</v>
      </c>
      <c r="I523" s="99" t="s">
        <v>2646</v>
      </c>
      <c r="J523" s="85" t="s">
        <v>372</v>
      </c>
    </row>
    <row r="524" spans="2:10" ht="24" customHeight="1">
      <c r="B524" s="99">
        <v>2389</v>
      </c>
      <c r="C524" s="100" t="s">
        <v>2647</v>
      </c>
      <c r="D524" s="84" t="s">
        <v>659</v>
      </c>
      <c r="E524" s="101" t="s">
        <v>2648</v>
      </c>
      <c r="F524" s="84" t="s">
        <v>2649</v>
      </c>
      <c r="G524" s="101" t="s">
        <v>2650</v>
      </c>
      <c r="H524" s="85" t="s">
        <v>2645</v>
      </c>
      <c r="I524" s="99" t="s">
        <v>2646</v>
      </c>
      <c r="J524" s="85" t="s">
        <v>372</v>
      </c>
    </row>
    <row r="525" spans="2:10" ht="24" customHeight="1">
      <c r="B525" s="99">
        <v>4730</v>
      </c>
      <c r="C525" s="100" t="s">
        <v>2651</v>
      </c>
      <c r="D525" s="105" t="s">
        <v>803</v>
      </c>
      <c r="E525" s="101" t="s">
        <v>2652</v>
      </c>
      <c r="F525" s="84" t="s">
        <v>2653</v>
      </c>
      <c r="G525" s="101" t="s">
        <v>2654</v>
      </c>
      <c r="H525" s="85" t="s">
        <v>2645</v>
      </c>
      <c r="I525" s="99" t="s">
        <v>2646</v>
      </c>
      <c r="J525" s="85" t="s">
        <v>372</v>
      </c>
    </row>
    <row r="526" spans="2:10" ht="24" customHeight="1">
      <c r="B526" s="99">
        <v>2233</v>
      </c>
      <c r="C526" s="100" t="s">
        <v>2655</v>
      </c>
      <c r="D526" s="84" t="s">
        <v>659</v>
      </c>
      <c r="E526" s="101" t="s">
        <v>2656</v>
      </c>
      <c r="F526" s="84"/>
      <c r="G526" s="101" t="s">
        <v>2657</v>
      </c>
      <c r="H526" s="85" t="s">
        <v>2645</v>
      </c>
      <c r="I526" s="99" t="s">
        <v>2646</v>
      </c>
      <c r="J526" s="85" t="s">
        <v>372</v>
      </c>
    </row>
    <row r="527" spans="2:10" ht="24" customHeight="1">
      <c r="B527" s="99">
        <v>2400</v>
      </c>
      <c r="C527" s="100" t="s">
        <v>2658</v>
      </c>
      <c r="D527" s="84" t="s">
        <v>677</v>
      </c>
      <c r="E527" s="101" t="s">
        <v>2659</v>
      </c>
      <c r="F527" s="84" t="s">
        <v>2660</v>
      </c>
      <c r="G527" s="101" t="s">
        <v>2661</v>
      </c>
      <c r="H527" s="85" t="s">
        <v>2645</v>
      </c>
      <c r="I527" s="99" t="s">
        <v>2646</v>
      </c>
      <c r="J527" s="85" t="s">
        <v>372</v>
      </c>
    </row>
    <row r="528" spans="2:10" ht="24" customHeight="1">
      <c r="B528" s="99">
        <v>2656</v>
      </c>
      <c r="C528" s="100" t="s">
        <v>2662</v>
      </c>
      <c r="D528" s="84" t="s">
        <v>1646</v>
      </c>
      <c r="E528" s="101" t="s">
        <v>2663</v>
      </c>
      <c r="F528" s="84" t="s">
        <v>2664</v>
      </c>
      <c r="G528" s="101" t="s">
        <v>2665</v>
      </c>
      <c r="H528" s="85" t="s">
        <v>2645</v>
      </c>
      <c r="I528" s="99" t="s">
        <v>2646</v>
      </c>
      <c r="J528" s="85" t="s">
        <v>372</v>
      </c>
    </row>
    <row r="529" spans="2:10" ht="24" customHeight="1">
      <c r="B529" s="99">
        <v>2854</v>
      </c>
      <c r="C529" s="100" t="s">
        <v>2666</v>
      </c>
      <c r="D529" s="84" t="s">
        <v>713</v>
      </c>
      <c r="E529" s="101" t="s">
        <v>2667</v>
      </c>
      <c r="F529" s="84" t="s">
        <v>2668</v>
      </c>
      <c r="G529" s="101" t="s">
        <v>2669</v>
      </c>
      <c r="H529" s="85" t="s">
        <v>2645</v>
      </c>
      <c r="I529" s="99" t="s">
        <v>2646</v>
      </c>
      <c r="J529" s="85" t="s">
        <v>372</v>
      </c>
    </row>
    <row r="530" spans="2:10" ht="24" customHeight="1">
      <c r="B530" s="99">
        <v>2254</v>
      </c>
      <c r="C530" s="100" t="s">
        <v>2670</v>
      </c>
      <c r="D530" s="84" t="s">
        <v>643</v>
      </c>
      <c r="E530" s="101" t="s">
        <v>2671</v>
      </c>
      <c r="F530" s="84" t="s">
        <v>2672</v>
      </c>
      <c r="G530" s="101" t="s">
        <v>2673</v>
      </c>
      <c r="H530" s="85" t="s">
        <v>2645</v>
      </c>
      <c r="I530" s="99" t="s">
        <v>2646</v>
      </c>
      <c r="J530" s="85" t="s">
        <v>372</v>
      </c>
    </row>
    <row r="531" spans="2:10" ht="24" customHeight="1">
      <c r="B531" s="103">
        <v>4034</v>
      </c>
      <c r="C531" s="104" t="s">
        <v>2674</v>
      </c>
      <c r="D531" s="105" t="s">
        <v>650</v>
      </c>
      <c r="E531" s="120" t="s">
        <v>2675</v>
      </c>
      <c r="F531" s="105"/>
      <c r="G531" s="106" t="s">
        <v>2676</v>
      </c>
      <c r="H531" s="108" t="s">
        <v>2645</v>
      </c>
      <c r="I531" s="109" t="s">
        <v>2646</v>
      </c>
      <c r="J531" s="108" t="s">
        <v>372</v>
      </c>
    </row>
    <row r="532" spans="2:10" ht="24" customHeight="1">
      <c r="B532" s="99">
        <v>3401</v>
      </c>
      <c r="C532" s="100" t="s">
        <v>2677</v>
      </c>
      <c r="D532" s="84" t="s">
        <v>890</v>
      </c>
      <c r="E532" s="101" t="s">
        <v>2678</v>
      </c>
      <c r="F532" s="84" t="s">
        <v>2679</v>
      </c>
      <c r="G532" s="101" t="s">
        <v>2680</v>
      </c>
      <c r="H532" s="85" t="s">
        <v>2645</v>
      </c>
      <c r="I532" s="99" t="s">
        <v>2646</v>
      </c>
      <c r="J532" s="85" t="s">
        <v>372</v>
      </c>
    </row>
    <row r="533" spans="2:10" ht="24" customHeight="1">
      <c r="B533" s="99">
        <v>5337</v>
      </c>
      <c r="C533" s="100" t="s">
        <v>2681</v>
      </c>
      <c r="D533" s="84" t="s">
        <v>677</v>
      </c>
      <c r="E533" s="101" t="s">
        <v>2682</v>
      </c>
      <c r="F533" s="84" t="s">
        <v>2683</v>
      </c>
      <c r="G533" s="101" t="s">
        <v>2684</v>
      </c>
      <c r="H533" s="85" t="s">
        <v>2645</v>
      </c>
      <c r="I533" s="99" t="s">
        <v>2646</v>
      </c>
      <c r="J533" s="85" t="s">
        <v>372</v>
      </c>
    </row>
    <row r="534" spans="2:10" ht="24" customHeight="1">
      <c r="B534" s="99">
        <v>1943</v>
      </c>
      <c r="C534" s="100" t="s">
        <v>2685</v>
      </c>
      <c r="D534" s="84" t="s">
        <v>643</v>
      </c>
      <c r="E534" s="101" t="s">
        <v>2686</v>
      </c>
      <c r="F534" s="84" t="s">
        <v>2687</v>
      </c>
      <c r="G534" s="101" t="s">
        <v>2688</v>
      </c>
      <c r="H534" s="85" t="s">
        <v>2645</v>
      </c>
      <c r="I534" s="99" t="s">
        <v>2646</v>
      </c>
      <c r="J534" s="85" t="s">
        <v>372</v>
      </c>
    </row>
    <row r="535" spans="2:10" ht="24" customHeight="1">
      <c r="B535" s="99">
        <v>2071</v>
      </c>
      <c r="C535" s="100" t="s">
        <v>2689</v>
      </c>
      <c r="D535" s="84" t="s">
        <v>677</v>
      </c>
      <c r="E535" s="101" t="s">
        <v>2690</v>
      </c>
      <c r="F535" s="84" t="s">
        <v>2691</v>
      </c>
      <c r="G535" s="101" t="s">
        <v>2692</v>
      </c>
      <c r="H535" s="85" t="s">
        <v>2645</v>
      </c>
      <c r="I535" s="99" t="s">
        <v>2646</v>
      </c>
      <c r="J535" s="85" t="s">
        <v>372</v>
      </c>
    </row>
    <row r="536" spans="2:10" ht="24" customHeight="1">
      <c r="B536" s="99">
        <v>2374</v>
      </c>
      <c r="C536" s="100" t="s">
        <v>2693</v>
      </c>
      <c r="D536" s="84" t="s">
        <v>682</v>
      </c>
      <c r="E536" s="101" t="s">
        <v>2694</v>
      </c>
      <c r="F536" s="84" t="s">
        <v>2695</v>
      </c>
      <c r="G536" s="101" t="s">
        <v>2696</v>
      </c>
      <c r="H536" s="85" t="s">
        <v>2645</v>
      </c>
      <c r="I536" s="99" t="s">
        <v>2646</v>
      </c>
      <c r="J536" s="85" t="s">
        <v>372</v>
      </c>
    </row>
    <row r="537" spans="2:10" ht="24" customHeight="1">
      <c r="B537" s="99">
        <v>2776</v>
      </c>
      <c r="C537" s="100" t="s">
        <v>2697</v>
      </c>
      <c r="D537" s="84" t="s">
        <v>682</v>
      </c>
      <c r="E537" s="101" t="s">
        <v>2698</v>
      </c>
      <c r="F537" s="84" t="s">
        <v>2699</v>
      </c>
      <c r="G537" s="101" t="s">
        <v>2700</v>
      </c>
      <c r="H537" s="85" t="s">
        <v>2645</v>
      </c>
      <c r="I537" s="99" t="s">
        <v>2646</v>
      </c>
      <c r="J537" s="85" t="s">
        <v>372</v>
      </c>
    </row>
    <row r="538" spans="2:10" ht="24" customHeight="1">
      <c r="B538" s="99">
        <v>2353</v>
      </c>
      <c r="C538" s="100" t="s">
        <v>2701</v>
      </c>
      <c r="D538" s="84" t="s">
        <v>643</v>
      </c>
      <c r="E538" s="101" t="s">
        <v>2702</v>
      </c>
      <c r="F538" s="84" t="s">
        <v>2703</v>
      </c>
      <c r="G538" s="101" t="s">
        <v>2704</v>
      </c>
      <c r="H538" s="85" t="s">
        <v>2645</v>
      </c>
      <c r="I538" s="99" t="s">
        <v>2646</v>
      </c>
      <c r="J538" s="85" t="s">
        <v>372</v>
      </c>
    </row>
    <row r="539" spans="2:10" ht="24" customHeight="1">
      <c r="B539" s="99">
        <v>1942</v>
      </c>
      <c r="C539" s="100" t="s">
        <v>2705</v>
      </c>
      <c r="D539" s="84" t="s">
        <v>744</v>
      </c>
      <c r="E539" s="101" t="s">
        <v>2706</v>
      </c>
      <c r="F539" s="84" t="s">
        <v>2707</v>
      </c>
      <c r="G539" s="101" t="s">
        <v>2708</v>
      </c>
      <c r="H539" s="85" t="s">
        <v>2645</v>
      </c>
      <c r="I539" s="99" t="s">
        <v>2646</v>
      </c>
      <c r="J539" s="85" t="s">
        <v>372</v>
      </c>
    </row>
    <row r="540" spans="2:10" ht="24" customHeight="1">
      <c r="B540" s="99">
        <v>2183</v>
      </c>
      <c r="C540" s="100" t="s">
        <v>2709</v>
      </c>
      <c r="D540" s="84" t="s">
        <v>813</v>
      </c>
      <c r="E540" s="101" t="s">
        <v>2710</v>
      </c>
      <c r="F540" s="84" t="s">
        <v>2711</v>
      </c>
      <c r="G540" s="101" t="s">
        <v>2712</v>
      </c>
      <c r="H540" s="85" t="s">
        <v>2645</v>
      </c>
      <c r="I540" s="99" t="s">
        <v>2646</v>
      </c>
      <c r="J540" s="85" t="s">
        <v>372</v>
      </c>
    </row>
    <row r="541" spans="2:10" ht="24" customHeight="1">
      <c r="B541" s="99">
        <v>2212</v>
      </c>
      <c r="C541" s="100" t="s">
        <v>2713</v>
      </c>
      <c r="D541" s="84" t="s">
        <v>643</v>
      </c>
      <c r="E541" s="101" t="s">
        <v>2714</v>
      </c>
      <c r="F541" s="84"/>
      <c r="G541" s="101" t="s">
        <v>2715</v>
      </c>
      <c r="H541" s="85" t="s">
        <v>2645</v>
      </c>
      <c r="I541" s="99" t="s">
        <v>2646</v>
      </c>
      <c r="J541" s="85" t="s">
        <v>372</v>
      </c>
    </row>
    <row r="542" spans="2:10" ht="24" customHeight="1">
      <c r="B542" s="99">
        <v>2078</v>
      </c>
      <c r="C542" s="100" t="s">
        <v>2716</v>
      </c>
      <c r="D542" s="84" t="s">
        <v>1543</v>
      </c>
      <c r="E542" s="101" t="s">
        <v>2717</v>
      </c>
      <c r="F542" s="84" t="s">
        <v>2718</v>
      </c>
      <c r="G542" s="101" t="s">
        <v>2719</v>
      </c>
      <c r="H542" s="85" t="s">
        <v>2645</v>
      </c>
      <c r="I542" s="99" t="s">
        <v>2646</v>
      </c>
      <c r="J542" s="85" t="s">
        <v>372</v>
      </c>
    </row>
    <row r="543" spans="2:10" ht="24" customHeight="1">
      <c r="B543" s="99">
        <v>2072</v>
      </c>
      <c r="C543" s="100" t="s">
        <v>2720</v>
      </c>
      <c r="D543" s="84" t="s">
        <v>643</v>
      </c>
      <c r="E543" s="101" t="s">
        <v>2721</v>
      </c>
      <c r="F543" s="84" t="s">
        <v>2722</v>
      </c>
      <c r="G543" s="101" t="s">
        <v>2723</v>
      </c>
      <c r="H543" s="85" t="s">
        <v>2645</v>
      </c>
      <c r="I543" s="99" t="s">
        <v>2646</v>
      </c>
      <c r="J543" s="85" t="s">
        <v>372</v>
      </c>
    </row>
    <row r="544" spans="2:10" ht="24" customHeight="1">
      <c r="B544" s="99">
        <v>2082</v>
      </c>
      <c r="C544" s="100" t="s">
        <v>2724</v>
      </c>
      <c r="D544" s="84" t="s">
        <v>682</v>
      </c>
      <c r="E544" s="101" t="s">
        <v>2725</v>
      </c>
      <c r="F544" s="84"/>
      <c r="G544" s="101" t="s">
        <v>2726</v>
      </c>
      <c r="H544" s="85" t="s">
        <v>2645</v>
      </c>
      <c r="I544" s="99" t="s">
        <v>2646</v>
      </c>
      <c r="J544" s="85" t="s">
        <v>372</v>
      </c>
    </row>
    <row r="545" spans="2:10" ht="24" customHeight="1">
      <c r="B545" s="99">
        <v>2700</v>
      </c>
      <c r="C545" s="100" t="s">
        <v>2727</v>
      </c>
      <c r="D545" s="84" t="s">
        <v>655</v>
      </c>
      <c r="E545" s="101" t="s">
        <v>2728</v>
      </c>
      <c r="F545" s="84"/>
      <c r="G545" s="101" t="s">
        <v>2729</v>
      </c>
      <c r="H545" s="85" t="s">
        <v>2645</v>
      </c>
      <c r="I545" s="99" t="s">
        <v>2646</v>
      </c>
      <c r="J545" s="85" t="s">
        <v>372</v>
      </c>
    </row>
    <row r="546" spans="2:10" ht="24" customHeight="1">
      <c r="B546" s="99">
        <v>2290</v>
      </c>
      <c r="C546" s="100" t="s">
        <v>2730</v>
      </c>
      <c r="D546" s="84" t="s">
        <v>682</v>
      </c>
      <c r="E546" s="101" t="s">
        <v>2731</v>
      </c>
      <c r="F546" s="84" t="s">
        <v>2732</v>
      </c>
      <c r="G546" s="101" t="s">
        <v>2733</v>
      </c>
      <c r="H546" s="85" t="s">
        <v>2645</v>
      </c>
      <c r="I546" s="99" t="s">
        <v>2646</v>
      </c>
      <c r="J546" s="85" t="s">
        <v>372</v>
      </c>
    </row>
    <row r="547" spans="2:10" ht="24" customHeight="1">
      <c r="B547" s="99">
        <v>2183</v>
      </c>
      <c r="C547" s="100" t="s">
        <v>2734</v>
      </c>
      <c r="D547" s="84" t="s">
        <v>813</v>
      </c>
      <c r="E547" s="101" t="s">
        <v>2710</v>
      </c>
      <c r="F547" s="84"/>
      <c r="G547" s="101" t="s">
        <v>2712</v>
      </c>
      <c r="H547" s="85" t="s">
        <v>2645</v>
      </c>
      <c r="I547" s="99" t="s">
        <v>2646</v>
      </c>
      <c r="J547" s="85" t="s">
        <v>372</v>
      </c>
    </row>
    <row r="548" spans="2:10" ht="24" customHeight="1">
      <c r="B548" s="99">
        <v>2775</v>
      </c>
      <c r="C548" s="100" t="s">
        <v>2735</v>
      </c>
      <c r="D548" s="84" t="s">
        <v>643</v>
      </c>
      <c r="E548" s="101" t="s">
        <v>2698</v>
      </c>
      <c r="F548" s="84" t="s">
        <v>2736</v>
      </c>
      <c r="G548" s="101" t="s">
        <v>2700</v>
      </c>
      <c r="H548" s="85" t="s">
        <v>2645</v>
      </c>
      <c r="I548" s="99" t="s">
        <v>2646</v>
      </c>
      <c r="J548" s="85" t="s">
        <v>372</v>
      </c>
    </row>
    <row r="549" spans="2:10" ht="24" customHeight="1">
      <c r="B549" s="99">
        <v>2091</v>
      </c>
      <c r="C549" s="100" t="s">
        <v>2737</v>
      </c>
      <c r="D549" s="84" t="s">
        <v>1261</v>
      </c>
      <c r="E549" s="101" t="s">
        <v>2738</v>
      </c>
      <c r="F549" s="84" t="s">
        <v>2739</v>
      </c>
      <c r="G549" s="101" t="s">
        <v>2740</v>
      </c>
      <c r="H549" s="85" t="s">
        <v>2645</v>
      </c>
      <c r="I549" s="99" t="s">
        <v>2646</v>
      </c>
      <c r="J549" s="85" t="s">
        <v>372</v>
      </c>
    </row>
    <row r="550" spans="2:10" ht="24" customHeight="1">
      <c r="B550" s="99">
        <v>2183</v>
      </c>
      <c r="C550" s="100" t="s">
        <v>2741</v>
      </c>
      <c r="D550" s="84" t="s">
        <v>650</v>
      </c>
      <c r="E550" s="101" t="s">
        <v>2710</v>
      </c>
      <c r="F550" s="84"/>
      <c r="G550" s="101" t="s">
        <v>2712</v>
      </c>
      <c r="H550" s="85" t="s">
        <v>2645</v>
      </c>
      <c r="I550" s="99" t="s">
        <v>2646</v>
      </c>
      <c r="J550" s="85" t="s">
        <v>372</v>
      </c>
    </row>
    <row r="551" spans="2:10" ht="24" customHeight="1">
      <c r="B551" s="99">
        <v>2126</v>
      </c>
      <c r="C551" s="100" t="s">
        <v>2742</v>
      </c>
      <c r="D551" s="84" t="s">
        <v>655</v>
      </c>
      <c r="E551" s="101" t="s">
        <v>2743</v>
      </c>
      <c r="F551" s="84"/>
      <c r="G551" s="101" t="s">
        <v>2744</v>
      </c>
      <c r="H551" s="85" t="s">
        <v>2645</v>
      </c>
      <c r="I551" s="99" t="s">
        <v>2646</v>
      </c>
      <c r="J551" s="85" t="s">
        <v>372</v>
      </c>
    </row>
    <row r="552" spans="2:10" ht="24" customHeight="1">
      <c r="B552" s="99">
        <v>1990</v>
      </c>
      <c r="C552" s="100" t="s">
        <v>2745</v>
      </c>
      <c r="D552" s="84" t="s">
        <v>650</v>
      </c>
      <c r="E552" s="101" t="s">
        <v>2746</v>
      </c>
      <c r="F552" s="84" t="s">
        <v>2747</v>
      </c>
      <c r="G552" s="101" t="s">
        <v>2748</v>
      </c>
      <c r="H552" s="85" t="s">
        <v>2645</v>
      </c>
      <c r="I552" s="99" t="s">
        <v>2646</v>
      </c>
      <c r="J552" s="85" t="s">
        <v>372</v>
      </c>
    </row>
    <row r="553" spans="2:10" ht="24" customHeight="1">
      <c r="B553" s="99">
        <v>2098</v>
      </c>
      <c r="C553" s="100" t="s">
        <v>2749</v>
      </c>
      <c r="D553" s="84" t="s">
        <v>672</v>
      </c>
      <c r="E553" s="101" t="s">
        <v>2750</v>
      </c>
      <c r="F553" s="84" t="s">
        <v>2751</v>
      </c>
      <c r="G553" s="101" t="s">
        <v>2752</v>
      </c>
      <c r="H553" s="85" t="s">
        <v>2645</v>
      </c>
      <c r="I553" s="99" t="s">
        <v>2646</v>
      </c>
      <c r="J553" s="85" t="s">
        <v>372</v>
      </c>
    </row>
    <row r="554" spans="2:10" ht="24" customHeight="1">
      <c r="B554" s="99">
        <v>5249</v>
      </c>
      <c r="C554" s="100" t="s">
        <v>2753</v>
      </c>
      <c r="D554" s="84" t="s">
        <v>655</v>
      </c>
      <c r="E554" s="101" t="s">
        <v>2754</v>
      </c>
      <c r="F554" s="84" t="s">
        <v>2755</v>
      </c>
      <c r="G554" s="101" t="s">
        <v>2756</v>
      </c>
      <c r="H554" s="85" t="s">
        <v>2645</v>
      </c>
      <c r="I554" s="99" t="s">
        <v>2646</v>
      </c>
      <c r="J554" s="85" t="s">
        <v>372</v>
      </c>
    </row>
    <row r="555" spans="2:10" ht="24" customHeight="1">
      <c r="B555" s="103">
        <v>3996</v>
      </c>
      <c r="C555" s="104" t="s">
        <v>2757</v>
      </c>
      <c r="D555" s="105" t="s">
        <v>1392</v>
      </c>
      <c r="E555" s="106" t="s">
        <v>2758</v>
      </c>
      <c r="F555" s="107"/>
      <c r="G555" s="106" t="s">
        <v>2759</v>
      </c>
      <c r="H555" s="108" t="s">
        <v>2645</v>
      </c>
      <c r="I555" s="109" t="s">
        <v>2646</v>
      </c>
      <c r="J555" s="108" t="s">
        <v>372</v>
      </c>
    </row>
    <row r="556" spans="2:10" ht="24" customHeight="1">
      <c r="B556" s="99">
        <v>3118</v>
      </c>
      <c r="C556" s="100" t="s">
        <v>2760</v>
      </c>
      <c r="D556" s="84" t="s">
        <v>643</v>
      </c>
      <c r="E556" s="101" t="s">
        <v>2761</v>
      </c>
      <c r="F556" s="84" t="s">
        <v>2762</v>
      </c>
      <c r="G556" s="101" t="s">
        <v>2763</v>
      </c>
      <c r="H556" s="85" t="s">
        <v>2645</v>
      </c>
      <c r="I556" s="99" t="s">
        <v>2646</v>
      </c>
      <c r="J556" s="85" t="s">
        <v>372</v>
      </c>
    </row>
    <row r="557" spans="2:10" ht="24" customHeight="1">
      <c r="B557" s="99">
        <v>4636</v>
      </c>
      <c r="C557" s="100" t="s">
        <v>2764</v>
      </c>
      <c r="D557" s="84" t="s">
        <v>643</v>
      </c>
      <c r="E557" s="101" t="s">
        <v>2765</v>
      </c>
      <c r="F557" s="84" t="s">
        <v>2766</v>
      </c>
      <c r="G557" s="101" t="s">
        <v>2767</v>
      </c>
      <c r="H557" s="85" t="s">
        <v>2645</v>
      </c>
      <c r="I557" s="99" t="s">
        <v>2646</v>
      </c>
      <c r="J557" s="85" t="s">
        <v>372</v>
      </c>
    </row>
    <row r="558" spans="2:10" ht="24" customHeight="1">
      <c r="B558" s="99">
        <v>2364</v>
      </c>
      <c r="C558" s="100" t="s">
        <v>2768</v>
      </c>
      <c r="D558" s="84" t="s">
        <v>643</v>
      </c>
      <c r="E558" s="101" t="s">
        <v>2769</v>
      </c>
      <c r="F558" s="84" t="s">
        <v>2770</v>
      </c>
      <c r="G558" s="101" t="s">
        <v>2771</v>
      </c>
      <c r="H558" s="85" t="s">
        <v>2645</v>
      </c>
      <c r="I558" s="99" t="s">
        <v>2646</v>
      </c>
      <c r="J558" s="85" t="s">
        <v>372</v>
      </c>
    </row>
    <row r="559" spans="2:10" ht="24" customHeight="1">
      <c r="B559" s="99">
        <v>5336</v>
      </c>
      <c r="C559" s="128" t="s">
        <v>2772</v>
      </c>
      <c r="D559" s="84" t="s">
        <v>643</v>
      </c>
      <c r="E559" s="101" t="s">
        <v>2773</v>
      </c>
      <c r="F559" s="84" t="s">
        <v>2774</v>
      </c>
      <c r="G559" s="129" t="s">
        <v>2775</v>
      </c>
      <c r="H559" s="85" t="s">
        <v>2645</v>
      </c>
      <c r="I559" s="99" t="s">
        <v>2646</v>
      </c>
      <c r="J559" s="85" t="s">
        <v>372</v>
      </c>
    </row>
    <row r="560" spans="2:10" ht="24" customHeight="1">
      <c r="B560" s="99">
        <v>2344</v>
      </c>
      <c r="C560" s="100" t="s">
        <v>2776</v>
      </c>
      <c r="D560" s="84" t="s">
        <v>643</v>
      </c>
      <c r="E560" s="101" t="s">
        <v>2777</v>
      </c>
      <c r="F560" s="84" t="s">
        <v>2778</v>
      </c>
      <c r="G560" s="101" t="s">
        <v>2779</v>
      </c>
      <c r="H560" s="85" t="s">
        <v>2780</v>
      </c>
      <c r="I560" s="99" t="s">
        <v>2646</v>
      </c>
      <c r="J560" s="85" t="s">
        <v>372</v>
      </c>
    </row>
    <row r="561" spans="2:10" ht="24" customHeight="1">
      <c r="B561" s="113">
        <v>4061</v>
      </c>
      <c r="C561" s="114" t="s">
        <v>2781</v>
      </c>
      <c r="D561" s="107" t="s">
        <v>659</v>
      </c>
      <c r="E561" s="106" t="s">
        <v>2782</v>
      </c>
      <c r="F561" s="107" t="s">
        <v>2783</v>
      </c>
      <c r="G561" s="106" t="s">
        <v>2784</v>
      </c>
      <c r="H561" s="108" t="s">
        <v>2646</v>
      </c>
      <c r="I561" s="109" t="s">
        <v>2646</v>
      </c>
      <c r="J561" s="108" t="s">
        <v>372</v>
      </c>
    </row>
    <row r="562" spans="2:10" ht="24" customHeight="1">
      <c r="B562" s="103">
        <v>3997</v>
      </c>
      <c r="C562" s="104" t="s">
        <v>2785</v>
      </c>
      <c r="D562" s="84" t="s">
        <v>655</v>
      </c>
      <c r="E562" s="106" t="s">
        <v>2786</v>
      </c>
      <c r="F562" s="107"/>
      <c r="G562" s="106" t="s">
        <v>2787</v>
      </c>
      <c r="H562" s="108" t="s">
        <v>2646</v>
      </c>
      <c r="I562" s="109" t="s">
        <v>2646</v>
      </c>
      <c r="J562" s="108" t="s">
        <v>372</v>
      </c>
    </row>
    <row r="563" spans="2:10" ht="24" customHeight="1">
      <c r="B563" s="103">
        <v>4044</v>
      </c>
      <c r="C563" s="104" t="s">
        <v>2788</v>
      </c>
      <c r="D563" s="105" t="s">
        <v>751</v>
      </c>
      <c r="E563" s="106" t="s">
        <v>2789</v>
      </c>
      <c r="F563" s="107"/>
      <c r="G563" s="106" t="s">
        <v>2790</v>
      </c>
      <c r="H563" s="108" t="s">
        <v>2646</v>
      </c>
      <c r="I563" s="109" t="s">
        <v>2646</v>
      </c>
      <c r="J563" s="108" t="s">
        <v>372</v>
      </c>
    </row>
    <row r="564" spans="2:10" ht="24" customHeight="1">
      <c r="B564" s="103">
        <v>4136</v>
      </c>
      <c r="C564" s="104" t="s">
        <v>2791</v>
      </c>
      <c r="D564" s="105" t="s">
        <v>659</v>
      </c>
      <c r="E564" s="106" t="s">
        <v>2792</v>
      </c>
      <c r="F564" s="107"/>
      <c r="G564" s="106" t="s">
        <v>2793</v>
      </c>
      <c r="H564" s="108" t="s">
        <v>2646</v>
      </c>
      <c r="I564" s="109" t="s">
        <v>2646</v>
      </c>
      <c r="J564" s="108" t="s">
        <v>372</v>
      </c>
    </row>
    <row r="565" spans="2:10" ht="24" customHeight="1">
      <c r="B565" s="103">
        <v>4008</v>
      </c>
      <c r="C565" s="104" t="s">
        <v>2794</v>
      </c>
      <c r="D565" s="105" t="s">
        <v>2795</v>
      </c>
      <c r="E565" s="106" t="s">
        <v>2796</v>
      </c>
      <c r="F565" s="107"/>
      <c r="G565" s="106" t="s">
        <v>2797</v>
      </c>
      <c r="H565" s="108" t="s">
        <v>2646</v>
      </c>
      <c r="I565" s="109" t="s">
        <v>2646</v>
      </c>
      <c r="J565" s="108" t="s">
        <v>372</v>
      </c>
    </row>
    <row r="566" spans="2:10" ht="24" customHeight="1">
      <c r="B566" s="103">
        <v>4071</v>
      </c>
      <c r="C566" s="104" t="s">
        <v>2798</v>
      </c>
      <c r="D566" s="105" t="s">
        <v>773</v>
      </c>
      <c r="E566" s="106" t="s">
        <v>2799</v>
      </c>
      <c r="F566" s="107"/>
      <c r="G566" s="106" t="s">
        <v>2800</v>
      </c>
      <c r="H566" s="108" t="s">
        <v>2646</v>
      </c>
      <c r="I566" s="109" t="s">
        <v>2646</v>
      </c>
      <c r="J566" s="108" t="s">
        <v>372</v>
      </c>
    </row>
    <row r="567" spans="2:10" ht="24" customHeight="1">
      <c r="B567" s="103">
        <v>3982</v>
      </c>
      <c r="C567" s="104" t="s">
        <v>2801</v>
      </c>
      <c r="D567" s="105" t="s">
        <v>803</v>
      </c>
      <c r="E567" s="106" t="s">
        <v>2802</v>
      </c>
      <c r="F567" s="107"/>
      <c r="G567" s="106" t="s">
        <v>2803</v>
      </c>
      <c r="H567" s="108" t="s">
        <v>2646</v>
      </c>
      <c r="I567" s="109" t="s">
        <v>2646</v>
      </c>
      <c r="J567" s="108" t="s">
        <v>372</v>
      </c>
    </row>
    <row r="568" spans="2:10" ht="24" customHeight="1">
      <c r="B568" s="99">
        <v>3987</v>
      </c>
      <c r="C568" s="100" t="s">
        <v>2804</v>
      </c>
      <c r="D568" s="84" t="s">
        <v>655</v>
      </c>
      <c r="E568" s="101" t="s">
        <v>2805</v>
      </c>
      <c r="F568" s="84"/>
      <c r="G568" s="101" t="s">
        <v>2806</v>
      </c>
      <c r="H568" s="85" t="s">
        <v>2646</v>
      </c>
      <c r="I568" s="99" t="s">
        <v>2646</v>
      </c>
      <c r="J568" s="85" t="s">
        <v>372</v>
      </c>
    </row>
    <row r="569" spans="2:10" ht="24" customHeight="1">
      <c r="B569" s="103">
        <v>3999</v>
      </c>
      <c r="C569" s="104" t="s">
        <v>2807</v>
      </c>
      <c r="D569" s="105" t="s">
        <v>751</v>
      </c>
      <c r="E569" s="106" t="s">
        <v>2808</v>
      </c>
      <c r="F569" s="107"/>
      <c r="G569" s="106" t="s">
        <v>2809</v>
      </c>
      <c r="H569" s="108" t="s">
        <v>2646</v>
      </c>
      <c r="I569" s="109" t="s">
        <v>2646</v>
      </c>
      <c r="J569" s="108" t="s">
        <v>372</v>
      </c>
    </row>
    <row r="570" spans="2:10" ht="24" customHeight="1">
      <c r="B570" s="99">
        <v>3567</v>
      </c>
      <c r="C570" s="100" t="s">
        <v>2810</v>
      </c>
      <c r="D570" s="84" t="s">
        <v>672</v>
      </c>
      <c r="E570" s="101" t="s">
        <v>2811</v>
      </c>
      <c r="F570" s="84" t="s">
        <v>2812</v>
      </c>
      <c r="G570" s="101" t="s">
        <v>2813</v>
      </c>
      <c r="H570" s="85" t="s">
        <v>2646</v>
      </c>
      <c r="I570" s="99" t="s">
        <v>2646</v>
      </c>
      <c r="J570" s="85" t="s">
        <v>372</v>
      </c>
    </row>
    <row r="571" spans="2:10" ht="24" customHeight="1">
      <c r="B571" s="103">
        <v>4010</v>
      </c>
      <c r="C571" s="104" t="s">
        <v>2814</v>
      </c>
      <c r="D571" s="105" t="s">
        <v>2815</v>
      </c>
      <c r="E571" s="106" t="s">
        <v>2816</v>
      </c>
      <c r="F571" s="107"/>
      <c r="G571" s="106" t="s">
        <v>2817</v>
      </c>
      <c r="H571" s="108" t="s">
        <v>2646</v>
      </c>
      <c r="I571" s="109" t="s">
        <v>2646</v>
      </c>
      <c r="J571" s="108" t="s">
        <v>372</v>
      </c>
    </row>
    <row r="572" spans="2:10" ht="24" customHeight="1">
      <c r="B572" s="103">
        <v>3969</v>
      </c>
      <c r="C572" s="104" t="s">
        <v>2818</v>
      </c>
      <c r="D572" s="84" t="s">
        <v>655</v>
      </c>
      <c r="E572" s="106" t="s">
        <v>2819</v>
      </c>
      <c r="F572" s="107"/>
      <c r="G572" s="106" t="s">
        <v>2820</v>
      </c>
      <c r="H572" s="108" t="s">
        <v>2646</v>
      </c>
      <c r="I572" s="109" t="s">
        <v>2646</v>
      </c>
      <c r="J572" s="108" t="s">
        <v>372</v>
      </c>
    </row>
    <row r="573" spans="2:10" ht="24" customHeight="1">
      <c r="B573" s="103">
        <v>4089</v>
      </c>
      <c r="C573" s="104" t="s">
        <v>2821</v>
      </c>
      <c r="D573" s="84" t="s">
        <v>821</v>
      </c>
      <c r="E573" s="106" t="s">
        <v>2822</v>
      </c>
      <c r="F573" s="107"/>
      <c r="G573" s="106" t="s">
        <v>2823</v>
      </c>
      <c r="H573" s="108" t="s">
        <v>2646</v>
      </c>
      <c r="I573" s="109" t="s">
        <v>2646</v>
      </c>
      <c r="J573" s="108" t="s">
        <v>372</v>
      </c>
    </row>
    <row r="574" spans="2:10" ht="24" customHeight="1">
      <c r="B574" s="99">
        <v>5452</v>
      </c>
      <c r="C574" s="100" t="s">
        <v>2824</v>
      </c>
      <c r="D574" s="105" t="s">
        <v>803</v>
      </c>
      <c r="E574" s="101" t="s">
        <v>2825</v>
      </c>
      <c r="F574" s="84" t="s">
        <v>2826</v>
      </c>
      <c r="G574" s="101" t="s">
        <v>2827</v>
      </c>
      <c r="H574" s="85" t="s">
        <v>2646</v>
      </c>
      <c r="I574" s="99" t="s">
        <v>2646</v>
      </c>
      <c r="J574" s="85" t="s">
        <v>372</v>
      </c>
    </row>
    <row r="575" spans="2:10" ht="24" customHeight="1">
      <c r="B575" s="99">
        <v>3716</v>
      </c>
      <c r="C575" s="100" t="s">
        <v>2828</v>
      </c>
      <c r="D575" s="84" t="s">
        <v>672</v>
      </c>
      <c r="E575" s="101" t="s">
        <v>2829</v>
      </c>
      <c r="F575" s="84" t="s">
        <v>2830</v>
      </c>
      <c r="G575" s="101" t="s">
        <v>2831</v>
      </c>
      <c r="H575" s="85" t="s">
        <v>2646</v>
      </c>
      <c r="I575" s="99" t="s">
        <v>2646</v>
      </c>
      <c r="J575" s="85" t="s">
        <v>372</v>
      </c>
    </row>
    <row r="576" spans="2:10" ht="24" customHeight="1">
      <c r="B576" s="113">
        <v>3989</v>
      </c>
      <c r="C576" s="114" t="s">
        <v>2832</v>
      </c>
      <c r="D576" s="105" t="s">
        <v>682</v>
      </c>
      <c r="E576" s="106" t="s">
        <v>2833</v>
      </c>
      <c r="F576" s="107" t="s">
        <v>2834</v>
      </c>
      <c r="G576" s="106" t="s">
        <v>2835</v>
      </c>
      <c r="H576" s="108" t="s">
        <v>2646</v>
      </c>
      <c r="I576" s="109" t="s">
        <v>2646</v>
      </c>
      <c r="J576" s="108" t="s">
        <v>372</v>
      </c>
    </row>
    <row r="577" spans="2:10" ht="24" customHeight="1">
      <c r="B577" s="103">
        <v>4125</v>
      </c>
      <c r="C577" s="104" t="s">
        <v>2836</v>
      </c>
      <c r="D577" s="105" t="s">
        <v>659</v>
      </c>
      <c r="E577" s="106" t="s">
        <v>2837</v>
      </c>
      <c r="F577" s="107"/>
      <c r="G577" s="106" t="s">
        <v>2838</v>
      </c>
      <c r="H577" s="108" t="s">
        <v>2646</v>
      </c>
      <c r="I577" s="109" t="s">
        <v>2646</v>
      </c>
      <c r="J577" s="108" t="s">
        <v>372</v>
      </c>
    </row>
    <row r="578" spans="2:10" ht="24" customHeight="1">
      <c r="B578" s="103">
        <v>4005</v>
      </c>
      <c r="C578" s="104" t="s">
        <v>2839</v>
      </c>
      <c r="D578" s="105" t="s">
        <v>751</v>
      </c>
      <c r="E578" s="106" t="s">
        <v>2840</v>
      </c>
      <c r="F578" s="107"/>
      <c r="G578" s="106" t="s">
        <v>2841</v>
      </c>
      <c r="H578" s="108" t="s">
        <v>2646</v>
      </c>
      <c r="I578" s="109" t="s">
        <v>2646</v>
      </c>
      <c r="J578" s="108" t="s">
        <v>372</v>
      </c>
    </row>
    <row r="579" spans="2:10" ht="24" customHeight="1">
      <c r="B579" s="103">
        <v>4012</v>
      </c>
      <c r="C579" s="104" t="s">
        <v>2842</v>
      </c>
      <c r="D579" s="105" t="s">
        <v>751</v>
      </c>
      <c r="E579" s="106" t="s">
        <v>2843</v>
      </c>
      <c r="F579" s="107"/>
      <c r="G579" s="106" t="s">
        <v>2844</v>
      </c>
      <c r="H579" s="108" t="s">
        <v>2646</v>
      </c>
      <c r="I579" s="109" t="s">
        <v>2646</v>
      </c>
      <c r="J579" s="108" t="s">
        <v>372</v>
      </c>
    </row>
    <row r="580" spans="2:10" ht="22.5" customHeight="1">
      <c r="B580" s="103">
        <v>4018</v>
      </c>
      <c r="C580" s="104" t="s">
        <v>2845</v>
      </c>
      <c r="D580" s="84" t="s">
        <v>672</v>
      </c>
      <c r="E580" s="106" t="s">
        <v>2846</v>
      </c>
      <c r="F580" s="107"/>
      <c r="G580" s="106" t="s">
        <v>2847</v>
      </c>
      <c r="H580" s="108" t="s">
        <v>2646</v>
      </c>
      <c r="I580" s="109" t="s">
        <v>2646</v>
      </c>
      <c r="J580" s="108" t="s">
        <v>372</v>
      </c>
    </row>
    <row r="581" spans="2:10" ht="22.5" customHeight="1">
      <c r="B581" s="99">
        <v>5743</v>
      </c>
      <c r="C581" s="100" t="s">
        <v>2848</v>
      </c>
      <c r="D581" s="111" t="s">
        <v>773</v>
      </c>
      <c r="E581" s="101" t="s">
        <v>2849</v>
      </c>
      <c r="F581" s="111" t="s">
        <v>2850</v>
      </c>
      <c r="G581" s="101" t="s">
        <v>2851</v>
      </c>
      <c r="H581" s="112" t="s">
        <v>2646</v>
      </c>
      <c r="I581" s="99" t="s">
        <v>2646</v>
      </c>
      <c r="J581" s="112" t="s">
        <v>372</v>
      </c>
    </row>
    <row r="582" spans="2:10" ht="22.5" customHeight="1">
      <c r="B582" s="99">
        <v>5755</v>
      </c>
      <c r="C582" s="100" t="s">
        <v>2852</v>
      </c>
      <c r="D582" s="111" t="s">
        <v>682</v>
      </c>
      <c r="E582" s="101" t="s">
        <v>2853</v>
      </c>
      <c r="F582" s="111" t="s">
        <v>2854</v>
      </c>
      <c r="G582" s="101" t="s">
        <v>2855</v>
      </c>
      <c r="H582" s="112" t="s">
        <v>2646</v>
      </c>
      <c r="I582" s="99" t="s">
        <v>2646</v>
      </c>
      <c r="J582" s="112" t="s">
        <v>372</v>
      </c>
    </row>
    <row r="583" spans="2:10" ht="22.5" customHeight="1">
      <c r="B583" s="99">
        <v>5754</v>
      </c>
      <c r="C583" s="100" t="s">
        <v>2856</v>
      </c>
      <c r="D583" s="111" t="s">
        <v>682</v>
      </c>
      <c r="E583" s="101" t="s">
        <v>2857</v>
      </c>
      <c r="F583" s="111" t="s">
        <v>2858</v>
      </c>
      <c r="G583" s="101" t="s">
        <v>2859</v>
      </c>
      <c r="H583" s="112" t="s">
        <v>2646</v>
      </c>
      <c r="I583" s="99" t="s">
        <v>2646</v>
      </c>
      <c r="J583" s="112" t="s">
        <v>372</v>
      </c>
    </row>
    <row r="584" spans="2:10" ht="22.5" customHeight="1">
      <c r="B584" s="99">
        <v>5819</v>
      </c>
      <c r="C584" s="100" t="s">
        <v>2860</v>
      </c>
      <c r="D584" s="84" t="s">
        <v>668</v>
      </c>
      <c r="E584" s="101" t="s">
        <v>2861</v>
      </c>
      <c r="F584" s="84" t="s">
        <v>2862</v>
      </c>
      <c r="G584" s="101" t="s">
        <v>2863</v>
      </c>
      <c r="H584" s="85" t="s">
        <v>2646</v>
      </c>
      <c r="I584" s="99" t="s">
        <v>2646</v>
      </c>
      <c r="J584" s="85" t="s">
        <v>372</v>
      </c>
    </row>
    <row r="585" spans="2:10" ht="22.5" customHeight="1">
      <c r="B585" s="99">
        <v>5802</v>
      </c>
      <c r="C585" s="100" t="s">
        <v>2864</v>
      </c>
      <c r="D585" s="111" t="s">
        <v>1646</v>
      </c>
      <c r="E585" s="101" t="s">
        <v>2865</v>
      </c>
      <c r="F585" s="111" t="s">
        <v>2866</v>
      </c>
      <c r="G585" s="101" t="s">
        <v>2867</v>
      </c>
      <c r="H585" s="112" t="s">
        <v>2646</v>
      </c>
      <c r="I585" s="99" t="s">
        <v>2646</v>
      </c>
      <c r="J585" s="112" t="s">
        <v>372</v>
      </c>
    </row>
    <row r="586" spans="2:10" ht="22.5" customHeight="1">
      <c r="B586" s="99">
        <v>5907</v>
      </c>
      <c r="C586" s="100" t="s">
        <v>2868</v>
      </c>
      <c r="D586" s="111" t="s">
        <v>890</v>
      </c>
      <c r="E586" s="101" t="s">
        <v>2869</v>
      </c>
      <c r="F586" s="111" t="s">
        <v>2870</v>
      </c>
      <c r="G586" s="101" t="s">
        <v>2871</v>
      </c>
      <c r="H586" s="112" t="s">
        <v>2646</v>
      </c>
      <c r="I586" s="99" t="s">
        <v>2646</v>
      </c>
      <c r="J586" s="112" t="s">
        <v>372</v>
      </c>
    </row>
    <row r="587" spans="2:10" ht="22.5" customHeight="1">
      <c r="B587" s="99">
        <v>3287</v>
      </c>
      <c r="C587" s="100" t="s">
        <v>2872</v>
      </c>
      <c r="D587" s="84" t="s">
        <v>677</v>
      </c>
      <c r="E587" s="101" t="s">
        <v>2873</v>
      </c>
      <c r="F587" s="84" t="s">
        <v>2874</v>
      </c>
      <c r="G587" s="101" t="s">
        <v>2875</v>
      </c>
      <c r="H587" s="85" t="s">
        <v>2645</v>
      </c>
      <c r="I587" s="99" t="s">
        <v>2645</v>
      </c>
      <c r="J587" s="85" t="s">
        <v>376</v>
      </c>
    </row>
    <row r="588" spans="2:10" ht="22.5" customHeight="1">
      <c r="B588" s="99">
        <v>2878</v>
      </c>
      <c r="C588" s="100" t="s">
        <v>2876</v>
      </c>
      <c r="D588" s="84" t="s">
        <v>655</v>
      </c>
      <c r="E588" s="101" t="s">
        <v>2877</v>
      </c>
      <c r="F588" s="84" t="s">
        <v>2878</v>
      </c>
      <c r="G588" s="101" t="s">
        <v>2879</v>
      </c>
      <c r="H588" s="85" t="s">
        <v>2880</v>
      </c>
      <c r="I588" s="99" t="s">
        <v>2880</v>
      </c>
      <c r="J588" s="85" t="s">
        <v>382</v>
      </c>
    </row>
    <row r="589" spans="2:10" ht="22.5" customHeight="1">
      <c r="B589" s="99">
        <v>2024</v>
      </c>
      <c r="C589" s="100" t="s">
        <v>2881</v>
      </c>
      <c r="D589" s="84" t="s">
        <v>744</v>
      </c>
      <c r="E589" s="101" t="s">
        <v>2882</v>
      </c>
      <c r="F589" s="84" t="s">
        <v>2883</v>
      </c>
      <c r="G589" s="101" t="s">
        <v>2884</v>
      </c>
      <c r="H589" s="85" t="s">
        <v>2880</v>
      </c>
      <c r="I589" s="99" t="s">
        <v>2880</v>
      </c>
      <c r="J589" s="85" t="s">
        <v>382</v>
      </c>
    </row>
    <row r="590" spans="2:10" ht="34.5" customHeight="1">
      <c r="B590" s="99">
        <v>5195</v>
      </c>
      <c r="C590" s="100" t="s">
        <v>2885</v>
      </c>
      <c r="D590" s="84" t="s">
        <v>655</v>
      </c>
      <c r="E590" s="101" t="s">
        <v>2886</v>
      </c>
      <c r="F590" s="84"/>
      <c r="G590" s="101" t="s">
        <v>2887</v>
      </c>
      <c r="H590" s="85" t="s">
        <v>2888</v>
      </c>
      <c r="I590" s="99" t="s">
        <v>2889</v>
      </c>
      <c r="J590" s="85" t="s">
        <v>382</v>
      </c>
    </row>
    <row r="591" spans="2:10" ht="29.25" customHeight="1">
      <c r="B591" s="99">
        <v>2044</v>
      </c>
      <c r="C591" s="100" t="s">
        <v>2890</v>
      </c>
      <c r="D591" s="84" t="s">
        <v>659</v>
      </c>
      <c r="E591" s="101" t="s">
        <v>2891</v>
      </c>
      <c r="F591" s="84"/>
      <c r="G591" s="101" t="s">
        <v>2892</v>
      </c>
      <c r="H591" s="85" t="s">
        <v>2889</v>
      </c>
      <c r="I591" s="99" t="s">
        <v>2889</v>
      </c>
      <c r="J591" s="85" t="s">
        <v>382</v>
      </c>
    </row>
    <row r="592" spans="2:10" ht="34.5" customHeight="1">
      <c r="B592" s="99">
        <v>3108</v>
      </c>
      <c r="C592" s="100" t="s">
        <v>2893</v>
      </c>
      <c r="D592" s="84" t="s">
        <v>672</v>
      </c>
      <c r="E592" s="101" t="s">
        <v>2894</v>
      </c>
      <c r="F592" s="84" t="s">
        <v>2895</v>
      </c>
      <c r="G592" s="101" t="s">
        <v>2896</v>
      </c>
      <c r="H592" s="85" t="s">
        <v>2889</v>
      </c>
      <c r="I592" s="99" t="s">
        <v>2889</v>
      </c>
      <c r="J592" s="85" t="s">
        <v>382</v>
      </c>
    </row>
    <row r="593" spans="2:10" ht="32.25" customHeight="1">
      <c r="B593" s="99">
        <v>3587</v>
      </c>
      <c r="C593" s="100" t="s">
        <v>2897</v>
      </c>
      <c r="D593" s="84" t="s">
        <v>643</v>
      </c>
      <c r="E593" s="101" t="s">
        <v>2898</v>
      </c>
      <c r="F593" s="84" t="s">
        <v>2899</v>
      </c>
      <c r="G593" s="101" t="s">
        <v>2900</v>
      </c>
      <c r="H593" s="85" t="s">
        <v>2889</v>
      </c>
      <c r="I593" s="99" t="s">
        <v>2889</v>
      </c>
      <c r="J593" s="85" t="s">
        <v>382</v>
      </c>
    </row>
    <row r="594" spans="2:10" ht="29.25" customHeight="1">
      <c r="B594" s="99">
        <v>2037</v>
      </c>
      <c r="C594" s="100" t="s">
        <v>2901</v>
      </c>
      <c r="D594" s="84" t="s">
        <v>643</v>
      </c>
      <c r="E594" s="101" t="s">
        <v>2902</v>
      </c>
      <c r="F594" s="84" t="s">
        <v>2903</v>
      </c>
      <c r="G594" s="101" t="s">
        <v>2904</v>
      </c>
      <c r="H594" s="85" t="s">
        <v>2889</v>
      </c>
      <c r="I594" s="99" t="s">
        <v>2889</v>
      </c>
      <c r="J594" s="85" t="s">
        <v>382</v>
      </c>
    </row>
    <row r="595" spans="2:10" ht="30" customHeight="1">
      <c r="B595" s="99">
        <v>2032</v>
      </c>
      <c r="C595" s="100" t="s">
        <v>2905</v>
      </c>
      <c r="D595" s="84" t="s">
        <v>655</v>
      </c>
      <c r="E595" s="101" t="s">
        <v>2906</v>
      </c>
      <c r="F595" s="84" t="s">
        <v>2907</v>
      </c>
      <c r="G595" s="101" t="s">
        <v>2908</v>
      </c>
      <c r="H595" s="85" t="s">
        <v>2889</v>
      </c>
      <c r="I595" s="99" t="s">
        <v>2889</v>
      </c>
      <c r="J595" s="85" t="s">
        <v>382</v>
      </c>
    </row>
    <row r="596" spans="2:10" ht="34.5" customHeight="1">
      <c r="B596" s="99">
        <v>2038</v>
      </c>
      <c r="C596" s="100" t="s">
        <v>2909</v>
      </c>
      <c r="D596" s="84" t="s">
        <v>655</v>
      </c>
      <c r="E596" s="101" t="s">
        <v>2910</v>
      </c>
      <c r="F596" s="84" t="s">
        <v>2911</v>
      </c>
      <c r="G596" s="101" t="s">
        <v>2912</v>
      </c>
      <c r="H596" s="85" t="s">
        <v>2889</v>
      </c>
      <c r="I596" s="99" t="s">
        <v>2889</v>
      </c>
      <c r="J596" s="85" t="s">
        <v>382</v>
      </c>
    </row>
    <row r="597" spans="2:10" ht="35.25" customHeight="1">
      <c r="B597" s="99">
        <v>5300</v>
      </c>
      <c r="C597" s="100" t="s">
        <v>2913</v>
      </c>
      <c r="D597" s="84" t="s">
        <v>672</v>
      </c>
      <c r="E597" s="101" t="s">
        <v>2914</v>
      </c>
      <c r="F597" s="84" t="s">
        <v>2915</v>
      </c>
      <c r="G597" s="101" t="s">
        <v>2916</v>
      </c>
      <c r="H597" s="85" t="s">
        <v>1097</v>
      </c>
      <c r="I597" s="99" t="s">
        <v>2889</v>
      </c>
      <c r="J597" s="85" t="s">
        <v>382</v>
      </c>
    </row>
    <row r="598" spans="2:10" ht="30" customHeight="1">
      <c r="B598" s="99">
        <v>3121</v>
      </c>
      <c r="C598" s="100" t="s">
        <v>2917</v>
      </c>
      <c r="D598" s="84" t="s">
        <v>643</v>
      </c>
      <c r="E598" s="101" t="s">
        <v>2918</v>
      </c>
      <c r="F598" s="84" t="s">
        <v>2919</v>
      </c>
      <c r="G598" s="101" t="s">
        <v>2920</v>
      </c>
      <c r="H598" s="85" t="s">
        <v>1097</v>
      </c>
      <c r="I598" s="99" t="s">
        <v>1097</v>
      </c>
      <c r="J598" s="85" t="s">
        <v>382</v>
      </c>
    </row>
    <row r="599" spans="2:10" ht="29.25" customHeight="1">
      <c r="B599" s="99">
        <v>3135</v>
      </c>
      <c r="C599" s="100" t="s">
        <v>2921</v>
      </c>
      <c r="D599" s="84" t="s">
        <v>655</v>
      </c>
      <c r="E599" s="101" t="s">
        <v>2922</v>
      </c>
      <c r="F599" s="84" t="s">
        <v>2923</v>
      </c>
      <c r="G599" s="101" t="s">
        <v>2924</v>
      </c>
      <c r="H599" s="85" t="s">
        <v>1097</v>
      </c>
      <c r="I599" s="99" t="s">
        <v>1097</v>
      </c>
      <c r="J599" s="85" t="s">
        <v>2925</v>
      </c>
    </row>
    <row r="600" spans="2:10" ht="34.5" customHeight="1">
      <c r="B600" s="99">
        <v>2889</v>
      </c>
      <c r="C600" s="100" t="s">
        <v>2926</v>
      </c>
      <c r="D600" s="84" t="s">
        <v>643</v>
      </c>
      <c r="E600" s="101" t="s">
        <v>2927</v>
      </c>
      <c r="F600" s="84" t="s">
        <v>2928</v>
      </c>
      <c r="G600" s="101" t="s">
        <v>2929</v>
      </c>
      <c r="H600" s="85" t="s">
        <v>2930</v>
      </c>
      <c r="I600" s="99" t="s">
        <v>2930</v>
      </c>
      <c r="J600" s="85" t="s">
        <v>2925</v>
      </c>
    </row>
    <row r="601" spans="2:10" ht="29.25" customHeight="1">
      <c r="B601" s="99">
        <v>3095</v>
      </c>
      <c r="C601" s="100" t="s">
        <v>2931</v>
      </c>
      <c r="D601" s="84" t="s">
        <v>643</v>
      </c>
      <c r="E601" s="101" t="s">
        <v>2932</v>
      </c>
      <c r="F601" s="84" t="s">
        <v>2933</v>
      </c>
      <c r="G601" s="101" t="s">
        <v>2934</v>
      </c>
      <c r="H601" s="85" t="s">
        <v>2930</v>
      </c>
      <c r="I601" s="99" t="s">
        <v>2930</v>
      </c>
      <c r="J601" s="85" t="s">
        <v>2925</v>
      </c>
    </row>
    <row r="602" spans="2:10" ht="34.5" customHeight="1">
      <c r="B602" s="99">
        <v>2043</v>
      </c>
      <c r="C602" s="100" t="s">
        <v>2935</v>
      </c>
      <c r="D602" s="84" t="s">
        <v>744</v>
      </c>
      <c r="E602" s="101" t="s">
        <v>2936</v>
      </c>
      <c r="F602" s="84" t="s">
        <v>2937</v>
      </c>
      <c r="G602" s="101" t="s">
        <v>2938</v>
      </c>
      <c r="H602" s="85" t="s">
        <v>2939</v>
      </c>
      <c r="I602" s="99" t="s">
        <v>2939</v>
      </c>
      <c r="J602" s="85" t="s">
        <v>388</v>
      </c>
    </row>
    <row r="603" spans="2:10" ht="29.25" customHeight="1">
      <c r="B603" s="99">
        <v>2200</v>
      </c>
      <c r="C603" s="100" t="s">
        <v>2940</v>
      </c>
      <c r="D603" s="84" t="s">
        <v>655</v>
      </c>
      <c r="E603" s="101" t="s">
        <v>2941</v>
      </c>
      <c r="F603" s="84" t="s">
        <v>2942</v>
      </c>
      <c r="G603" s="101" t="s">
        <v>2943</v>
      </c>
      <c r="H603" s="85" t="s">
        <v>2939</v>
      </c>
      <c r="I603" s="99" t="s">
        <v>2939</v>
      </c>
      <c r="J603" s="85" t="s">
        <v>388</v>
      </c>
    </row>
    <row r="604" spans="2:10" ht="34.5" customHeight="1">
      <c r="B604" s="99">
        <v>5026</v>
      </c>
      <c r="C604" s="100" t="s">
        <v>2944</v>
      </c>
      <c r="D604" s="84" t="s">
        <v>643</v>
      </c>
      <c r="E604" s="101" t="s">
        <v>2945</v>
      </c>
      <c r="F604" s="84" t="s">
        <v>2946</v>
      </c>
      <c r="G604" s="101" t="s">
        <v>2947</v>
      </c>
      <c r="H604" s="85" t="s">
        <v>2939</v>
      </c>
      <c r="I604" s="99" t="s">
        <v>2939</v>
      </c>
      <c r="J604" s="85" t="s">
        <v>388</v>
      </c>
    </row>
    <row r="605" spans="2:10" ht="29.25" customHeight="1">
      <c r="B605" s="99">
        <v>2047</v>
      </c>
      <c r="C605" s="100" t="s">
        <v>2948</v>
      </c>
      <c r="D605" s="84" t="s">
        <v>655</v>
      </c>
      <c r="E605" s="101" t="s">
        <v>2949</v>
      </c>
      <c r="F605" s="84" t="s">
        <v>2950</v>
      </c>
      <c r="G605" s="101" t="s">
        <v>2951</v>
      </c>
      <c r="H605" s="85" t="s">
        <v>2952</v>
      </c>
      <c r="I605" s="99" t="s">
        <v>388</v>
      </c>
      <c r="J605" s="85" t="s">
        <v>388</v>
      </c>
    </row>
    <row r="606" spans="2:10" ht="34.5" customHeight="1">
      <c r="B606" s="99">
        <v>3112</v>
      </c>
      <c r="C606" s="100" t="s">
        <v>2953</v>
      </c>
      <c r="D606" s="84" t="s">
        <v>1074</v>
      </c>
      <c r="E606" s="101" t="s">
        <v>2954</v>
      </c>
      <c r="F606" s="84" t="s">
        <v>2955</v>
      </c>
      <c r="G606" s="101" t="s">
        <v>2956</v>
      </c>
      <c r="H606" s="85" t="s">
        <v>2957</v>
      </c>
      <c r="I606" s="99" t="s">
        <v>388</v>
      </c>
      <c r="J606" s="85" t="s">
        <v>388</v>
      </c>
    </row>
    <row r="607" spans="2:10" ht="30.75" customHeight="1">
      <c r="B607" s="99">
        <v>3131</v>
      </c>
      <c r="C607" s="100" t="s">
        <v>2958</v>
      </c>
      <c r="D607" s="84" t="s">
        <v>1216</v>
      </c>
      <c r="E607" s="101" t="s">
        <v>2959</v>
      </c>
      <c r="F607" s="84" t="s">
        <v>2960</v>
      </c>
      <c r="G607" s="101" t="s">
        <v>2961</v>
      </c>
      <c r="H607" s="85" t="s">
        <v>2957</v>
      </c>
      <c r="I607" s="99" t="s">
        <v>2957</v>
      </c>
      <c r="J607" s="85" t="s">
        <v>388</v>
      </c>
    </row>
    <row r="608" spans="2:10" ht="31.5" customHeight="1">
      <c r="B608" s="99">
        <v>2373</v>
      </c>
      <c r="C608" s="100" t="s">
        <v>2962</v>
      </c>
      <c r="D608" s="84" t="s">
        <v>672</v>
      </c>
      <c r="E608" s="101" t="s">
        <v>2963</v>
      </c>
      <c r="F608" s="84" t="s">
        <v>2964</v>
      </c>
      <c r="G608" s="101" t="s">
        <v>2965</v>
      </c>
      <c r="H608" s="85" t="s">
        <v>2966</v>
      </c>
      <c r="I608" s="99" t="s">
        <v>2966</v>
      </c>
      <c r="J608" s="85" t="s">
        <v>391</v>
      </c>
    </row>
    <row r="609" spans="2:10" ht="30.75" customHeight="1">
      <c r="B609" s="99">
        <v>1940</v>
      </c>
      <c r="C609" s="100" t="s">
        <v>2967</v>
      </c>
      <c r="D609" s="84" t="s">
        <v>643</v>
      </c>
      <c r="E609" s="101" t="s">
        <v>2968</v>
      </c>
      <c r="F609" s="84" t="s">
        <v>2969</v>
      </c>
      <c r="G609" s="101" t="s">
        <v>2970</v>
      </c>
      <c r="H609" s="85" t="s">
        <v>2966</v>
      </c>
      <c r="I609" s="99" t="s">
        <v>2966</v>
      </c>
      <c r="J609" s="85" t="s">
        <v>391</v>
      </c>
    </row>
    <row r="610" spans="2:10" ht="31.5" customHeight="1">
      <c r="B610" s="99">
        <v>1940</v>
      </c>
      <c r="C610" s="100" t="s">
        <v>2971</v>
      </c>
      <c r="D610" s="84" t="s">
        <v>643</v>
      </c>
      <c r="E610" s="101" t="s">
        <v>2972</v>
      </c>
      <c r="F610" s="84" t="s">
        <v>2973</v>
      </c>
      <c r="G610" s="101" t="s">
        <v>2974</v>
      </c>
      <c r="H610" s="85" t="s">
        <v>2966</v>
      </c>
      <c r="I610" s="99" t="s">
        <v>2966</v>
      </c>
      <c r="J610" s="85" t="s">
        <v>391</v>
      </c>
    </row>
    <row r="611" spans="2:10" ht="30.75" customHeight="1">
      <c r="B611" s="99">
        <v>5083</v>
      </c>
      <c r="C611" s="100" t="s">
        <v>2975</v>
      </c>
      <c r="D611" s="84" t="s">
        <v>650</v>
      </c>
      <c r="E611" s="101" t="s">
        <v>2976</v>
      </c>
      <c r="F611" s="84" t="s">
        <v>2977</v>
      </c>
      <c r="G611" s="101" t="s">
        <v>2978</v>
      </c>
      <c r="H611" s="85" t="s">
        <v>2966</v>
      </c>
      <c r="I611" s="99" t="s">
        <v>2966</v>
      </c>
      <c r="J611" s="85" t="s">
        <v>391</v>
      </c>
    </row>
    <row r="612" spans="2:10" ht="31.5" customHeight="1">
      <c r="B612" s="99">
        <v>5118</v>
      </c>
      <c r="C612" s="100" t="s">
        <v>2979</v>
      </c>
      <c r="D612" s="84" t="s">
        <v>643</v>
      </c>
      <c r="E612" s="101" t="s">
        <v>2980</v>
      </c>
      <c r="F612" s="84" t="s">
        <v>2981</v>
      </c>
      <c r="G612" s="101" t="s">
        <v>2982</v>
      </c>
      <c r="H612" s="85" t="s">
        <v>2966</v>
      </c>
      <c r="I612" s="99" t="s">
        <v>2966</v>
      </c>
      <c r="J612" s="85" t="s">
        <v>391</v>
      </c>
    </row>
    <row r="613" spans="2:10" ht="30.75" customHeight="1">
      <c r="B613" s="99">
        <v>5117</v>
      </c>
      <c r="C613" s="100" t="s">
        <v>2983</v>
      </c>
      <c r="D613" s="111" t="s">
        <v>813</v>
      </c>
      <c r="E613" s="101" t="s">
        <v>2980</v>
      </c>
      <c r="F613" s="111" t="s">
        <v>2984</v>
      </c>
      <c r="G613" s="101" t="s">
        <v>2982</v>
      </c>
      <c r="H613" s="112" t="s">
        <v>2966</v>
      </c>
      <c r="I613" s="99" t="s">
        <v>2966</v>
      </c>
      <c r="J613" s="112" t="s">
        <v>391</v>
      </c>
    </row>
    <row r="614" spans="2:10" ht="31.5" customHeight="1">
      <c r="B614" s="99">
        <v>1940</v>
      </c>
      <c r="C614" s="100" t="s">
        <v>2967</v>
      </c>
      <c r="D614" s="84" t="s">
        <v>643</v>
      </c>
      <c r="E614" s="101" t="s">
        <v>2968</v>
      </c>
      <c r="F614" s="84" t="s">
        <v>2969</v>
      </c>
      <c r="G614" s="101" t="s">
        <v>2985</v>
      </c>
      <c r="H614" s="85" t="s">
        <v>2986</v>
      </c>
      <c r="I614" s="99" t="s">
        <v>2986</v>
      </c>
      <c r="J614" s="85" t="s">
        <v>391</v>
      </c>
    </row>
    <row r="615" spans="2:10" ht="30.75" customHeight="1">
      <c r="B615" s="99">
        <v>2153</v>
      </c>
      <c r="C615" s="100" t="s">
        <v>2987</v>
      </c>
      <c r="D615" s="111" t="s">
        <v>682</v>
      </c>
      <c r="E615" s="101" t="s">
        <v>2988</v>
      </c>
      <c r="F615" s="111"/>
      <c r="G615" s="101" t="s">
        <v>2989</v>
      </c>
      <c r="H615" s="112" t="s">
        <v>2986</v>
      </c>
      <c r="I615" s="99" t="s">
        <v>2986</v>
      </c>
      <c r="J615" s="112" t="s">
        <v>391</v>
      </c>
    </row>
    <row r="616" spans="2:10" ht="30" customHeight="1">
      <c r="B616" s="99">
        <v>1940</v>
      </c>
      <c r="C616" s="101" t="s">
        <v>2971</v>
      </c>
      <c r="D616" s="84" t="s">
        <v>643</v>
      </c>
      <c r="E616" s="101" t="s">
        <v>2972</v>
      </c>
      <c r="F616" s="84" t="s">
        <v>2973</v>
      </c>
      <c r="G616" s="101" t="s">
        <v>2985</v>
      </c>
      <c r="H616" s="85" t="s">
        <v>2986</v>
      </c>
      <c r="I616" s="99" t="s">
        <v>2986</v>
      </c>
      <c r="J616" s="85" t="s">
        <v>391</v>
      </c>
    </row>
    <row r="617" spans="2:10" ht="33.75" customHeight="1">
      <c r="B617" s="99">
        <v>2231</v>
      </c>
      <c r="C617" s="101" t="s">
        <v>2990</v>
      </c>
      <c r="D617" s="111" t="s">
        <v>655</v>
      </c>
      <c r="E617" s="101" t="s">
        <v>2991</v>
      </c>
      <c r="F617" s="111" t="s">
        <v>2992</v>
      </c>
      <c r="G617" s="101" t="s">
        <v>2993</v>
      </c>
      <c r="H617" s="112" t="s">
        <v>2994</v>
      </c>
      <c r="I617" s="99" t="s">
        <v>2986</v>
      </c>
      <c r="J617" s="112" t="s">
        <v>391</v>
      </c>
    </row>
    <row r="618" spans="2:10" ht="29.25" customHeight="1">
      <c r="B618" s="99">
        <v>2193</v>
      </c>
      <c r="C618" s="101" t="s">
        <v>2995</v>
      </c>
      <c r="D618" s="84" t="s">
        <v>655</v>
      </c>
      <c r="E618" s="101" t="s">
        <v>2996</v>
      </c>
      <c r="F618" s="84" t="s">
        <v>2997</v>
      </c>
      <c r="G618" s="101" t="s">
        <v>2998</v>
      </c>
      <c r="H618" s="85" t="s">
        <v>2999</v>
      </c>
      <c r="I618" s="99" t="s">
        <v>2999</v>
      </c>
      <c r="J618" s="85" t="s">
        <v>391</v>
      </c>
    </row>
    <row r="619" spans="2:10" ht="27.75" customHeight="1">
      <c r="B619" s="99">
        <v>5761</v>
      </c>
      <c r="C619" s="101" t="s">
        <v>3000</v>
      </c>
      <c r="D619" s="111" t="s">
        <v>677</v>
      </c>
      <c r="E619" s="101" t="s">
        <v>3001</v>
      </c>
      <c r="F619" s="111" t="s">
        <v>3002</v>
      </c>
      <c r="G619" s="101" t="s">
        <v>3003</v>
      </c>
      <c r="H619" s="112" t="s">
        <v>2999</v>
      </c>
      <c r="I619" s="99" t="s">
        <v>2999</v>
      </c>
      <c r="J619" s="112" t="s">
        <v>391</v>
      </c>
    </row>
    <row r="620" spans="2:10" ht="23.25" customHeight="1">
      <c r="B620" s="99">
        <v>3117</v>
      </c>
      <c r="C620" s="101" t="s">
        <v>3004</v>
      </c>
      <c r="D620" s="84" t="s">
        <v>677</v>
      </c>
      <c r="E620" s="101" t="s">
        <v>3005</v>
      </c>
      <c r="F620" s="84" t="s">
        <v>3006</v>
      </c>
      <c r="G620" s="101" t="s">
        <v>3007</v>
      </c>
      <c r="H620" s="99" t="s">
        <v>1097</v>
      </c>
      <c r="I620" s="99" t="s">
        <v>1097</v>
      </c>
      <c r="J620" s="85" t="s">
        <v>391</v>
      </c>
    </row>
    <row r="621" spans="2:10" ht="27" customHeight="1">
      <c r="B621" s="99">
        <v>2221</v>
      </c>
      <c r="C621" s="101" t="s">
        <v>3008</v>
      </c>
      <c r="D621" s="84" t="s">
        <v>643</v>
      </c>
      <c r="E621" s="101" t="s">
        <v>3009</v>
      </c>
      <c r="F621" s="84" t="s">
        <v>3010</v>
      </c>
      <c r="G621" s="101" t="s">
        <v>3011</v>
      </c>
      <c r="H621" s="85" t="s">
        <v>1097</v>
      </c>
      <c r="I621" s="99" t="s">
        <v>3012</v>
      </c>
      <c r="J621" s="85" t="s">
        <v>3013</v>
      </c>
    </row>
    <row r="622" spans="2:10" ht="29.25" customHeight="1">
      <c r="B622" s="99">
        <v>5446</v>
      </c>
      <c r="C622" s="101" t="s">
        <v>3014</v>
      </c>
      <c r="D622" s="84" t="s">
        <v>1646</v>
      </c>
      <c r="E622" s="101" t="s">
        <v>3015</v>
      </c>
      <c r="F622" s="84" t="s">
        <v>3016</v>
      </c>
      <c r="G622" s="101" t="s">
        <v>3017</v>
      </c>
      <c r="H622" s="85" t="s">
        <v>3018</v>
      </c>
      <c r="I622" s="99" t="s">
        <v>3018</v>
      </c>
      <c r="J622" s="85" t="s">
        <v>3013</v>
      </c>
    </row>
    <row r="623" spans="2:10" ht="29.25" customHeight="1">
      <c r="B623" s="99">
        <v>5742</v>
      </c>
      <c r="C623" s="101" t="s">
        <v>3019</v>
      </c>
      <c r="D623" s="84" t="s">
        <v>650</v>
      </c>
      <c r="E623" s="101" t="s">
        <v>3020</v>
      </c>
      <c r="F623" s="84" t="s">
        <v>3021</v>
      </c>
      <c r="G623" s="101" t="s">
        <v>3022</v>
      </c>
      <c r="H623" s="85" t="s">
        <v>3023</v>
      </c>
      <c r="I623" s="99" t="s">
        <v>3023</v>
      </c>
      <c r="J623" s="85" t="s">
        <v>397</v>
      </c>
    </row>
    <row r="624" spans="2:10" ht="24" customHeight="1">
      <c r="B624" s="99">
        <v>4962</v>
      </c>
      <c r="C624" s="101" t="s">
        <v>3024</v>
      </c>
      <c r="D624" s="84" t="s">
        <v>682</v>
      </c>
      <c r="E624" s="101" t="s">
        <v>3025</v>
      </c>
      <c r="F624" s="84" t="s">
        <v>3026</v>
      </c>
      <c r="G624" s="101" t="s">
        <v>3027</v>
      </c>
      <c r="H624" s="85" t="s">
        <v>3028</v>
      </c>
      <c r="I624" s="99" t="s">
        <v>3028</v>
      </c>
      <c r="J624" s="85" t="s">
        <v>397</v>
      </c>
    </row>
    <row r="625" spans="2:10" ht="27.75" customHeight="1">
      <c r="B625" s="99">
        <v>5262</v>
      </c>
      <c r="C625" s="101" t="s">
        <v>3029</v>
      </c>
      <c r="D625" s="84" t="s">
        <v>655</v>
      </c>
      <c r="E625" s="101" t="s">
        <v>3030</v>
      </c>
      <c r="F625" s="84" t="s">
        <v>3031</v>
      </c>
      <c r="G625" s="101" t="s">
        <v>3032</v>
      </c>
      <c r="H625" s="85" t="s">
        <v>1097</v>
      </c>
      <c r="I625" s="99" t="s">
        <v>1097</v>
      </c>
      <c r="J625" s="85" t="s">
        <v>3033</v>
      </c>
    </row>
    <row r="626" spans="2:10" ht="32.25" customHeight="1">
      <c r="B626" s="99">
        <v>5890</v>
      </c>
      <c r="C626" s="101" t="s">
        <v>3034</v>
      </c>
      <c r="D626" s="111" t="s">
        <v>672</v>
      </c>
      <c r="E626" s="101" t="s">
        <v>3035</v>
      </c>
      <c r="F626" s="111" t="s">
        <v>3036</v>
      </c>
      <c r="G626" s="101" t="s">
        <v>3037</v>
      </c>
      <c r="H626" s="112" t="s">
        <v>1506</v>
      </c>
      <c r="I626" s="99" t="s">
        <v>1506</v>
      </c>
      <c r="J626" s="112" t="s">
        <v>1506</v>
      </c>
    </row>
    <row r="627" spans="2:10" ht="29.25" customHeight="1">
      <c r="B627" s="99">
        <v>2864</v>
      </c>
      <c r="C627" s="101" t="s">
        <v>3038</v>
      </c>
      <c r="D627" s="84" t="s">
        <v>655</v>
      </c>
      <c r="E627" s="101" t="s">
        <v>3039</v>
      </c>
      <c r="F627" s="84" t="s">
        <v>3040</v>
      </c>
      <c r="G627" s="101" t="s">
        <v>3041</v>
      </c>
      <c r="H627" s="85" t="s">
        <v>3042</v>
      </c>
      <c r="I627" s="99" t="s">
        <v>3042</v>
      </c>
      <c r="J627" s="85" t="s">
        <v>3043</v>
      </c>
    </row>
    <row r="628" spans="2:10" ht="27.75" customHeight="1">
      <c r="B628" s="99">
        <v>2127</v>
      </c>
      <c r="C628" s="101" t="s">
        <v>3044</v>
      </c>
      <c r="D628" s="84" t="s">
        <v>655</v>
      </c>
      <c r="E628" s="101" t="s">
        <v>3045</v>
      </c>
      <c r="F628" s="84" t="s">
        <v>3046</v>
      </c>
      <c r="G628" s="101" t="s">
        <v>3047</v>
      </c>
      <c r="H628" s="85" t="s">
        <v>3042</v>
      </c>
      <c r="I628" s="99" t="s">
        <v>3042</v>
      </c>
      <c r="J628" s="85" t="s">
        <v>3043</v>
      </c>
    </row>
    <row r="629" spans="2:10" ht="35.25" customHeight="1">
      <c r="B629" s="99">
        <v>2205</v>
      </c>
      <c r="C629" s="101" t="s">
        <v>3048</v>
      </c>
      <c r="D629" s="84" t="s">
        <v>643</v>
      </c>
      <c r="E629" s="101" t="s">
        <v>3049</v>
      </c>
      <c r="F629" s="84" t="s">
        <v>1832</v>
      </c>
      <c r="G629" s="101" t="s">
        <v>3050</v>
      </c>
      <c r="H629" s="99" t="s">
        <v>3042</v>
      </c>
      <c r="I629" s="99" t="s">
        <v>3042</v>
      </c>
      <c r="J629" s="85" t="s">
        <v>3043</v>
      </c>
    </row>
    <row r="630" spans="2:10" ht="33.75" customHeight="1">
      <c r="B630" s="99">
        <v>5751</v>
      </c>
      <c r="C630" s="101" t="s">
        <v>3051</v>
      </c>
      <c r="D630" s="84" t="s">
        <v>1866</v>
      </c>
      <c r="E630" s="101" t="s">
        <v>3052</v>
      </c>
      <c r="F630" s="84" t="s">
        <v>3053</v>
      </c>
      <c r="G630" s="101" t="s">
        <v>3054</v>
      </c>
      <c r="H630" s="99" t="s">
        <v>1097</v>
      </c>
      <c r="I630" s="99" t="s">
        <v>1097</v>
      </c>
      <c r="J630" s="136" t="s">
        <v>3055</v>
      </c>
    </row>
  </sheetData>
  <mergeCells count="1">
    <mergeCell ref="B2:J2"/>
  </mergeCells>
  <dataValidations count="1">
    <dataValidation allowBlank="1" showInputMessage="1" showErrorMessage="1" sqref="B318 B358:B367"/>
  </dataValidations>
  <printOptions horizontalCentered="1"/>
  <pageMargins left="0.41" right="0.44" top="0.62992125984251968" bottom="0.82677165354330717" header="0.39370078740157483" footer="0.51181102362204722"/>
  <pageSetup paperSize="9" scale="62" orientation="portrait" horizontalDpi="4294967293" verticalDpi="300" r:id="rId1"/>
  <headerFooter alignWithMargins="0">
    <oddFooter>&amp;L&amp;"Arial,Normal"&amp;10MEDİKAL NETWORK&amp;C&amp;"Arial,Normal"&amp;10&amp;A&amp;R&amp;"Arial,Normal"&amp;10ARALIK 2016 &amp;P/&amp;N</oddFooter>
  </headerFooter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4"/>
  <dimension ref="A1:I266"/>
  <sheetViews>
    <sheetView workbookViewId="0">
      <selection activeCell="D9" sqref="D9"/>
    </sheetView>
  </sheetViews>
  <sheetFormatPr defaultRowHeight="15"/>
  <cols>
    <col min="1" max="1" width="8.28515625" bestFit="1" customWidth="1"/>
    <col min="2" max="2" width="12.42578125" bestFit="1" customWidth="1"/>
    <col min="3" max="3" width="34.5703125" bestFit="1" customWidth="1"/>
    <col min="4" max="4" width="46.42578125" customWidth="1"/>
    <col min="5" max="5" width="12" bestFit="1" customWidth="1"/>
    <col min="6" max="6" width="28.42578125" bestFit="1" customWidth="1"/>
    <col min="7" max="7" width="12.5703125" bestFit="1" customWidth="1"/>
    <col min="8" max="8" width="12.28515625" bestFit="1" customWidth="1"/>
    <col min="9" max="9" width="12.140625" bestFit="1" customWidth="1"/>
  </cols>
  <sheetData>
    <row r="1" spans="1:9">
      <c r="A1" s="79" t="s">
        <v>406</v>
      </c>
      <c r="B1" s="79" t="s">
        <v>407</v>
      </c>
      <c r="C1" s="79" t="s">
        <v>408</v>
      </c>
      <c r="D1" s="79" t="s">
        <v>409</v>
      </c>
      <c r="E1" s="79" t="s">
        <v>410</v>
      </c>
      <c r="F1" s="79" t="s">
        <v>411</v>
      </c>
      <c r="G1" s="79" t="s">
        <v>412</v>
      </c>
      <c r="H1" s="79" t="s">
        <v>413</v>
      </c>
      <c r="I1" s="79" t="s">
        <v>414</v>
      </c>
    </row>
    <row r="2" spans="1:9">
      <c r="A2">
        <v>1</v>
      </c>
      <c r="B2" s="45">
        <v>41640</v>
      </c>
      <c r="C2" s="80" t="s">
        <v>415</v>
      </c>
      <c r="D2" t="s">
        <v>416</v>
      </c>
      <c r="E2" t="s">
        <v>417</v>
      </c>
      <c r="H2">
        <v>1179.95</v>
      </c>
    </row>
    <row r="3" spans="1:9">
      <c r="A3">
        <v>2</v>
      </c>
      <c r="B3" s="45">
        <v>41641</v>
      </c>
      <c r="C3" s="80" t="s">
        <v>418</v>
      </c>
      <c r="D3" t="s">
        <v>419</v>
      </c>
      <c r="E3" t="s">
        <v>417</v>
      </c>
      <c r="F3" t="s">
        <v>420</v>
      </c>
      <c r="G3" t="s">
        <v>421</v>
      </c>
      <c r="I3">
        <v>30</v>
      </c>
    </row>
    <row r="4" spans="1:9">
      <c r="A4">
        <v>3</v>
      </c>
      <c r="B4" s="45">
        <v>41642</v>
      </c>
      <c r="C4" s="80" t="s">
        <v>422</v>
      </c>
      <c r="D4" t="s">
        <v>419</v>
      </c>
      <c r="E4" t="s">
        <v>417</v>
      </c>
      <c r="F4" t="s">
        <v>420</v>
      </c>
      <c r="G4" t="s">
        <v>421</v>
      </c>
      <c r="I4">
        <v>30</v>
      </c>
    </row>
    <row r="5" spans="1:9">
      <c r="A5">
        <v>4</v>
      </c>
      <c r="B5" s="45">
        <v>41642</v>
      </c>
      <c r="C5" s="80" t="s">
        <v>423</v>
      </c>
      <c r="D5" t="s">
        <v>424</v>
      </c>
      <c r="E5" t="s">
        <v>417</v>
      </c>
      <c r="F5" t="s">
        <v>425</v>
      </c>
      <c r="G5" t="s">
        <v>426</v>
      </c>
      <c r="I5">
        <v>400</v>
      </c>
    </row>
    <row r="6" spans="1:9">
      <c r="A6">
        <v>5</v>
      </c>
      <c r="B6" s="45">
        <v>41642</v>
      </c>
      <c r="C6" s="80" t="s">
        <v>427</v>
      </c>
      <c r="D6" t="s">
        <v>428</v>
      </c>
      <c r="G6" t="s">
        <v>421</v>
      </c>
      <c r="H6">
        <v>2000</v>
      </c>
    </row>
    <row r="7" spans="1:9">
      <c r="A7">
        <v>6</v>
      </c>
      <c r="B7" s="45">
        <v>41642</v>
      </c>
      <c r="C7" s="80" t="s">
        <v>429</v>
      </c>
      <c r="D7" t="s">
        <v>430</v>
      </c>
      <c r="E7" t="s">
        <v>417</v>
      </c>
      <c r="F7" t="s">
        <v>431</v>
      </c>
      <c r="G7" t="s">
        <v>426</v>
      </c>
      <c r="I7">
        <v>300</v>
      </c>
    </row>
    <row r="8" spans="1:9">
      <c r="A8">
        <v>7</v>
      </c>
      <c r="B8" s="45">
        <v>41643</v>
      </c>
      <c r="C8" s="80" t="s">
        <v>432</v>
      </c>
      <c r="D8" t="s">
        <v>433</v>
      </c>
      <c r="E8" t="s">
        <v>417</v>
      </c>
      <c r="F8" t="s">
        <v>431</v>
      </c>
      <c r="G8" t="s">
        <v>426</v>
      </c>
      <c r="I8">
        <v>96.5</v>
      </c>
    </row>
    <row r="9" spans="1:9">
      <c r="A9">
        <v>8</v>
      </c>
      <c r="B9" s="45">
        <v>41643</v>
      </c>
      <c r="C9" s="80" t="s">
        <v>434</v>
      </c>
      <c r="D9" t="s">
        <v>433</v>
      </c>
      <c r="E9" t="s">
        <v>435</v>
      </c>
      <c r="F9" t="s">
        <v>425</v>
      </c>
      <c r="G9" t="s">
        <v>426</v>
      </c>
      <c r="I9">
        <v>250</v>
      </c>
    </row>
    <row r="10" spans="1:9">
      <c r="A10">
        <v>9</v>
      </c>
      <c r="B10" s="45">
        <v>41643</v>
      </c>
      <c r="C10" s="80" t="s">
        <v>436</v>
      </c>
      <c r="D10" t="s">
        <v>425</v>
      </c>
      <c r="E10" t="s">
        <v>435</v>
      </c>
      <c r="F10" t="s">
        <v>425</v>
      </c>
      <c r="G10" t="s">
        <v>426</v>
      </c>
      <c r="I10">
        <v>270</v>
      </c>
    </row>
    <row r="11" spans="1:9">
      <c r="A11">
        <v>10</v>
      </c>
      <c r="B11" s="45">
        <v>41643</v>
      </c>
      <c r="C11" s="80" t="s">
        <v>437</v>
      </c>
      <c r="D11" t="s">
        <v>425</v>
      </c>
      <c r="E11" t="s">
        <v>435</v>
      </c>
      <c r="F11" t="s">
        <v>425</v>
      </c>
      <c r="G11" t="s">
        <v>426</v>
      </c>
      <c r="I11">
        <v>180</v>
      </c>
    </row>
    <row r="12" spans="1:9">
      <c r="A12">
        <v>11</v>
      </c>
      <c r="B12" s="45">
        <v>41643</v>
      </c>
      <c r="C12" s="80" t="s">
        <v>438</v>
      </c>
      <c r="D12" t="s">
        <v>428</v>
      </c>
      <c r="G12" t="s">
        <v>421</v>
      </c>
      <c r="H12">
        <v>2000</v>
      </c>
    </row>
    <row r="13" spans="1:9">
      <c r="A13">
        <v>12</v>
      </c>
      <c r="B13" s="45">
        <v>41643</v>
      </c>
      <c r="C13" s="80" t="s">
        <v>439</v>
      </c>
      <c r="D13" t="s">
        <v>440</v>
      </c>
      <c r="E13" t="s">
        <v>417</v>
      </c>
      <c r="F13" t="s">
        <v>420</v>
      </c>
      <c r="G13" t="s">
        <v>426</v>
      </c>
      <c r="I13">
        <v>615.66</v>
      </c>
    </row>
    <row r="14" spans="1:9">
      <c r="A14">
        <v>13</v>
      </c>
      <c r="B14" s="45">
        <v>41643</v>
      </c>
      <c r="C14" s="80" t="s">
        <v>441</v>
      </c>
      <c r="D14" t="s">
        <v>442</v>
      </c>
      <c r="E14" t="s">
        <v>417</v>
      </c>
      <c r="F14" t="s">
        <v>420</v>
      </c>
      <c r="G14" t="s">
        <v>421</v>
      </c>
      <c r="I14">
        <v>407</v>
      </c>
    </row>
    <row r="15" spans="1:9">
      <c r="A15">
        <v>14</v>
      </c>
      <c r="B15" s="45">
        <v>41643</v>
      </c>
      <c r="C15" s="80" t="s">
        <v>443</v>
      </c>
      <c r="D15" t="s">
        <v>444</v>
      </c>
      <c r="E15" t="s">
        <v>417</v>
      </c>
      <c r="F15" t="s">
        <v>420</v>
      </c>
      <c r="G15" t="s">
        <v>421</v>
      </c>
      <c r="I15">
        <v>30</v>
      </c>
    </row>
    <row r="16" spans="1:9">
      <c r="A16">
        <v>15</v>
      </c>
      <c r="B16" s="45">
        <v>41644</v>
      </c>
      <c r="C16" s="80" t="s">
        <v>445</v>
      </c>
      <c r="D16" t="s">
        <v>444</v>
      </c>
      <c r="E16" t="s">
        <v>417</v>
      </c>
      <c r="F16" t="s">
        <v>420</v>
      </c>
      <c r="G16" t="s">
        <v>421</v>
      </c>
      <c r="I16">
        <v>20</v>
      </c>
    </row>
    <row r="17" spans="1:9">
      <c r="A17">
        <v>16</v>
      </c>
      <c r="B17" s="45">
        <v>41645</v>
      </c>
      <c r="C17" s="80" t="s">
        <v>415</v>
      </c>
      <c r="D17" t="s">
        <v>444</v>
      </c>
      <c r="E17" t="s">
        <v>417</v>
      </c>
      <c r="F17" t="s">
        <v>420</v>
      </c>
      <c r="G17" t="s">
        <v>421</v>
      </c>
      <c r="I17">
        <v>30</v>
      </c>
    </row>
    <row r="18" spans="1:9">
      <c r="A18">
        <v>17</v>
      </c>
      <c r="B18" s="45">
        <v>41646</v>
      </c>
      <c r="C18" s="80" t="s">
        <v>418</v>
      </c>
      <c r="D18" t="s">
        <v>444</v>
      </c>
      <c r="E18" t="s">
        <v>417</v>
      </c>
      <c r="F18" t="s">
        <v>420</v>
      </c>
      <c r="G18" t="s">
        <v>421</v>
      </c>
      <c r="I18">
        <v>30</v>
      </c>
    </row>
    <row r="19" spans="1:9">
      <c r="A19">
        <v>18</v>
      </c>
      <c r="B19" s="45">
        <v>41647</v>
      </c>
      <c r="C19" s="80" t="s">
        <v>422</v>
      </c>
      <c r="D19" t="s">
        <v>444</v>
      </c>
      <c r="E19" t="s">
        <v>417</v>
      </c>
      <c r="F19" t="s">
        <v>420</v>
      </c>
      <c r="G19" t="s">
        <v>421</v>
      </c>
      <c r="I19">
        <v>7.5</v>
      </c>
    </row>
    <row r="20" spans="1:9">
      <c r="A20">
        <v>19</v>
      </c>
      <c r="B20" s="45">
        <v>41647</v>
      </c>
      <c r="C20" s="80" t="s">
        <v>423</v>
      </c>
      <c r="D20" t="s">
        <v>444</v>
      </c>
      <c r="E20" t="s">
        <v>417</v>
      </c>
      <c r="F20" t="s">
        <v>420</v>
      </c>
      <c r="G20" t="s">
        <v>421</v>
      </c>
      <c r="I20">
        <v>22.5</v>
      </c>
    </row>
    <row r="21" spans="1:9">
      <c r="A21">
        <v>20</v>
      </c>
      <c r="B21" s="45">
        <v>41647</v>
      </c>
      <c r="C21" s="80" t="s">
        <v>427</v>
      </c>
      <c r="D21" t="s">
        <v>446</v>
      </c>
      <c r="E21" t="s">
        <v>417</v>
      </c>
      <c r="F21" t="s">
        <v>420</v>
      </c>
      <c r="G21" t="s">
        <v>426</v>
      </c>
      <c r="I21">
        <v>460</v>
      </c>
    </row>
    <row r="22" spans="1:9">
      <c r="A22">
        <v>21</v>
      </c>
      <c r="B22" s="45">
        <v>41648</v>
      </c>
      <c r="C22" s="80" t="s">
        <v>429</v>
      </c>
      <c r="D22" t="s">
        <v>444</v>
      </c>
      <c r="E22" t="s">
        <v>417</v>
      </c>
      <c r="F22" t="s">
        <v>420</v>
      </c>
      <c r="G22" t="s">
        <v>421</v>
      </c>
      <c r="I22">
        <v>30</v>
      </c>
    </row>
    <row r="23" spans="1:9">
      <c r="A23">
        <v>22</v>
      </c>
      <c r="B23" s="45">
        <v>41648</v>
      </c>
      <c r="C23" s="80" t="s">
        <v>432</v>
      </c>
      <c r="D23" t="s">
        <v>447</v>
      </c>
      <c r="E23" t="s">
        <v>417</v>
      </c>
      <c r="F23" t="s">
        <v>420</v>
      </c>
      <c r="G23" t="s">
        <v>421</v>
      </c>
      <c r="I23">
        <v>8.65</v>
      </c>
    </row>
    <row r="24" spans="1:9">
      <c r="A24">
        <v>23</v>
      </c>
      <c r="B24" s="45">
        <v>41648</v>
      </c>
      <c r="C24" s="80" t="s">
        <v>434</v>
      </c>
      <c r="D24" t="s">
        <v>448</v>
      </c>
      <c r="E24" t="s">
        <v>417</v>
      </c>
      <c r="F24" t="s">
        <v>420</v>
      </c>
      <c r="G24" t="s">
        <v>421</v>
      </c>
      <c r="I24">
        <v>12</v>
      </c>
    </row>
    <row r="25" spans="1:9">
      <c r="A25">
        <v>24</v>
      </c>
      <c r="B25" s="45">
        <v>41649</v>
      </c>
      <c r="C25" s="80" t="s">
        <v>436</v>
      </c>
      <c r="D25" t="s">
        <v>444</v>
      </c>
      <c r="E25" t="s">
        <v>417</v>
      </c>
      <c r="F25" t="s">
        <v>420</v>
      </c>
      <c r="G25" t="s">
        <v>421</v>
      </c>
      <c r="I25">
        <v>30</v>
      </c>
    </row>
    <row r="26" spans="1:9">
      <c r="A26">
        <v>25</v>
      </c>
      <c r="B26" s="45">
        <v>41650</v>
      </c>
      <c r="C26" s="80" t="s">
        <v>437</v>
      </c>
      <c r="D26" t="s">
        <v>442</v>
      </c>
      <c r="E26" t="s">
        <v>417</v>
      </c>
      <c r="F26" t="s">
        <v>420</v>
      </c>
      <c r="G26" t="s">
        <v>421</v>
      </c>
      <c r="I26">
        <v>363</v>
      </c>
    </row>
    <row r="27" spans="1:9">
      <c r="A27">
        <v>26</v>
      </c>
      <c r="B27" s="45">
        <v>41650</v>
      </c>
      <c r="C27" s="80" t="s">
        <v>438</v>
      </c>
      <c r="D27" t="s">
        <v>444</v>
      </c>
      <c r="E27" t="s">
        <v>417</v>
      </c>
      <c r="F27" t="s">
        <v>420</v>
      </c>
      <c r="G27" t="s">
        <v>421</v>
      </c>
      <c r="I27">
        <v>30</v>
      </c>
    </row>
    <row r="28" spans="1:9">
      <c r="A28">
        <v>27</v>
      </c>
      <c r="B28" s="45">
        <v>41650</v>
      </c>
      <c r="C28" s="80" t="s">
        <v>439</v>
      </c>
      <c r="D28" t="s">
        <v>449</v>
      </c>
      <c r="E28" t="s">
        <v>435</v>
      </c>
      <c r="F28" t="s">
        <v>450</v>
      </c>
      <c r="G28" t="s">
        <v>421</v>
      </c>
      <c r="I28">
        <v>70</v>
      </c>
    </row>
    <row r="29" spans="1:9">
      <c r="A29">
        <v>28</v>
      </c>
      <c r="B29" s="45">
        <v>41650</v>
      </c>
      <c r="C29" s="80" t="s">
        <v>451</v>
      </c>
      <c r="D29" t="s">
        <v>452</v>
      </c>
      <c r="E29" t="s">
        <v>435</v>
      </c>
      <c r="F29" t="s">
        <v>450</v>
      </c>
      <c r="G29" t="s">
        <v>426</v>
      </c>
      <c r="I29">
        <v>165</v>
      </c>
    </row>
    <row r="30" spans="1:9">
      <c r="A30">
        <v>29</v>
      </c>
      <c r="B30" s="45">
        <v>41650</v>
      </c>
      <c r="C30" s="80" t="s">
        <v>443</v>
      </c>
      <c r="D30" t="s">
        <v>453</v>
      </c>
      <c r="E30" t="s">
        <v>417</v>
      </c>
      <c r="F30" t="s">
        <v>420</v>
      </c>
      <c r="G30" t="s">
        <v>426</v>
      </c>
      <c r="I30">
        <v>39.979999999999997</v>
      </c>
    </row>
    <row r="31" spans="1:9">
      <c r="A31">
        <v>30</v>
      </c>
      <c r="B31" s="45">
        <v>41650</v>
      </c>
      <c r="C31" s="80" t="s">
        <v>445</v>
      </c>
      <c r="D31" t="s">
        <v>454</v>
      </c>
      <c r="E31" t="s">
        <v>417</v>
      </c>
      <c r="F31" t="s">
        <v>425</v>
      </c>
      <c r="G31" t="s">
        <v>426</v>
      </c>
      <c r="I31">
        <v>99.07</v>
      </c>
    </row>
    <row r="32" spans="1:9">
      <c r="A32">
        <v>31</v>
      </c>
      <c r="B32" s="45">
        <v>41651</v>
      </c>
      <c r="C32" s="80" t="s">
        <v>415</v>
      </c>
      <c r="D32" t="s">
        <v>440</v>
      </c>
      <c r="E32" t="s">
        <v>417</v>
      </c>
      <c r="F32" t="s">
        <v>420</v>
      </c>
      <c r="G32" t="s">
        <v>426</v>
      </c>
      <c r="I32">
        <v>1572.98</v>
      </c>
    </row>
    <row r="33" spans="1:9">
      <c r="A33">
        <v>32</v>
      </c>
      <c r="B33" s="45">
        <v>41651</v>
      </c>
      <c r="C33" s="80" t="s">
        <v>418</v>
      </c>
      <c r="D33" t="s">
        <v>444</v>
      </c>
      <c r="E33" t="s">
        <v>417</v>
      </c>
      <c r="F33" t="s">
        <v>420</v>
      </c>
      <c r="G33" t="s">
        <v>421</v>
      </c>
      <c r="I33">
        <v>30</v>
      </c>
    </row>
    <row r="34" spans="1:9">
      <c r="A34">
        <v>33</v>
      </c>
      <c r="B34" s="45">
        <v>41652</v>
      </c>
      <c r="C34" s="80" t="s">
        <v>422</v>
      </c>
      <c r="D34" t="s">
        <v>455</v>
      </c>
      <c r="E34" t="s">
        <v>435</v>
      </c>
      <c r="F34" t="s">
        <v>456</v>
      </c>
      <c r="G34" t="s">
        <v>421</v>
      </c>
      <c r="I34">
        <v>70</v>
      </c>
    </row>
    <row r="35" spans="1:9">
      <c r="A35">
        <v>34</v>
      </c>
      <c r="B35" s="45">
        <v>41652</v>
      </c>
      <c r="C35" s="80" t="s">
        <v>423</v>
      </c>
      <c r="D35" t="s">
        <v>444</v>
      </c>
      <c r="E35" t="s">
        <v>417</v>
      </c>
      <c r="F35" t="s">
        <v>420</v>
      </c>
      <c r="G35" t="s">
        <v>421</v>
      </c>
      <c r="I35">
        <v>30</v>
      </c>
    </row>
    <row r="36" spans="1:9">
      <c r="A36">
        <v>35</v>
      </c>
      <c r="B36" s="45">
        <v>41652</v>
      </c>
      <c r="C36" s="80" t="s">
        <v>427</v>
      </c>
      <c r="D36" t="s">
        <v>428</v>
      </c>
      <c r="G36" t="s">
        <v>421</v>
      </c>
      <c r="H36">
        <v>2000</v>
      </c>
    </row>
    <row r="37" spans="1:9">
      <c r="A37">
        <v>36</v>
      </c>
      <c r="B37" s="45">
        <v>41652</v>
      </c>
      <c r="C37" s="80" t="s">
        <v>429</v>
      </c>
      <c r="D37" t="s">
        <v>457</v>
      </c>
      <c r="E37" t="s">
        <v>435</v>
      </c>
      <c r="F37" t="s">
        <v>450</v>
      </c>
      <c r="G37" t="s">
        <v>421</v>
      </c>
      <c r="I37">
        <v>30</v>
      </c>
    </row>
    <row r="38" spans="1:9">
      <c r="A38">
        <v>37</v>
      </c>
      <c r="B38" s="45">
        <v>41653</v>
      </c>
      <c r="C38" s="80" t="s">
        <v>432</v>
      </c>
      <c r="D38" t="s">
        <v>458</v>
      </c>
      <c r="E38" t="s">
        <v>459</v>
      </c>
      <c r="F38" t="s">
        <v>460</v>
      </c>
      <c r="G38" t="s">
        <v>421</v>
      </c>
      <c r="I38">
        <v>200</v>
      </c>
    </row>
    <row r="39" spans="1:9">
      <c r="A39">
        <v>38</v>
      </c>
      <c r="B39" s="45">
        <v>41653</v>
      </c>
      <c r="C39" s="80" t="s">
        <v>434</v>
      </c>
      <c r="D39" t="s">
        <v>444</v>
      </c>
      <c r="E39" t="s">
        <v>417</v>
      </c>
      <c r="F39" t="s">
        <v>420</v>
      </c>
      <c r="G39" t="s">
        <v>421</v>
      </c>
      <c r="I39">
        <v>30</v>
      </c>
    </row>
    <row r="40" spans="1:9">
      <c r="A40">
        <v>39</v>
      </c>
      <c r="B40" s="45">
        <v>41653</v>
      </c>
      <c r="C40" s="80" t="s">
        <v>436</v>
      </c>
      <c r="D40" t="s">
        <v>461</v>
      </c>
      <c r="E40" t="s">
        <v>417</v>
      </c>
      <c r="F40" t="s">
        <v>420</v>
      </c>
      <c r="G40" t="s">
        <v>426</v>
      </c>
      <c r="I40">
        <v>345.6</v>
      </c>
    </row>
    <row r="41" spans="1:9">
      <c r="A41">
        <v>40</v>
      </c>
      <c r="B41" s="45">
        <v>41646</v>
      </c>
      <c r="C41" s="80" t="s">
        <v>437</v>
      </c>
      <c r="D41" t="s">
        <v>461</v>
      </c>
      <c r="E41" t="s">
        <v>417</v>
      </c>
      <c r="F41" t="s">
        <v>420</v>
      </c>
      <c r="G41" t="s">
        <v>426</v>
      </c>
      <c r="I41">
        <v>328.4</v>
      </c>
    </row>
    <row r="42" spans="1:9">
      <c r="A42">
        <v>41</v>
      </c>
      <c r="B42" s="45">
        <v>41648</v>
      </c>
      <c r="C42" s="80" t="s">
        <v>438</v>
      </c>
      <c r="D42" t="s">
        <v>462</v>
      </c>
      <c r="E42" t="s">
        <v>435</v>
      </c>
      <c r="F42" t="s">
        <v>463</v>
      </c>
      <c r="G42" t="s">
        <v>421</v>
      </c>
      <c r="I42">
        <v>100</v>
      </c>
    </row>
    <row r="43" spans="1:9">
      <c r="A43">
        <v>42</v>
      </c>
      <c r="B43" s="45">
        <v>41653</v>
      </c>
      <c r="C43" s="80" t="s">
        <v>439</v>
      </c>
      <c r="D43" t="s">
        <v>464</v>
      </c>
      <c r="E43" t="s">
        <v>435</v>
      </c>
      <c r="F43" t="s">
        <v>465</v>
      </c>
      <c r="G43" t="s">
        <v>421</v>
      </c>
      <c r="I43">
        <v>20</v>
      </c>
    </row>
    <row r="44" spans="1:9">
      <c r="A44">
        <v>43</v>
      </c>
      <c r="B44" s="45">
        <v>41654</v>
      </c>
      <c r="C44" s="80" t="s">
        <v>451</v>
      </c>
      <c r="D44" t="s">
        <v>444</v>
      </c>
      <c r="E44" t="s">
        <v>417</v>
      </c>
      <c r="F44" t="s">
        <v>420</v>
      </c>
      <c r="G44" t="s">
        <v>421</v>
      </c>
      <c r="I44">
        <v>30</v>
      </c>
    </row>
    <row r="45" spans="1:9">
      <c r="A45">
        <v>44</v>
      </c>
      <c r="B45" s="45">
        <v>41654</v>
      </c>
      <c r="C45" s="80" t="s">
        <v>443</v>
      </c>
      <c r="D45" t="s">
        <v>466</v>
      </c>
      <c r="E45" t="s">
        <v>435</v>
      </c>
      <c r="F45" t="s">
        <v>467</v>
      </c>
      <c r="G45" t="s">
        <v>421</v>
      </c>
      <c r="I45">
        <v>35</v>
      </c>
    </row>
    <row r="46" spans="1:9">
      <c r="A46">
        <v>45</v>
      </c>
      <c r="B46" s="45">
        <v>41654</v>
      </c>
      <c r="C46" s="80" t="s">
        <v>445</v>
      </c>
      <c r="D46" t="s">
        <v>468</v>
      </c>
      <c r="E46" t="s">
        <v>435</v>
      </c>
      <c r="F46" t="s">
        <v>467</v>
      </c>
      <c r="G46" t="s">
        <v>421</v>
      </c>
      <c r="I46">
        <v>11</v>
      </c>
    </row>
    <row r="47" spans="1:9">
      <c r="A47">
        <v>46</v>
      </c>
      <c r="B47" s="45">
        <v>41654</v>
      </c>
      <c r="C47" s="80" t="s">
        <v>415</v>
      </c>
      <c r="D47" t="s">
        <v>469</v>
      </c>
      <c r="E47" t="s">
        <v>417</v>
      </c>
      <c r="F47" t="s">
        <v>425</v>
      </c>
      <c r="G47" t="s">
        <v>421</v>
      </c>
      <c r="I47">
        <v>7.5</v>
      </c>
    </row>
    <row r="48" spans="1:9">
      <c r="A48">
        <v>47</v>
      </c>
      <c r="B48" s="45">
        <v>41654</v>
      </c>
      <c r="C48" s="80" t="s">
        <v>418</v>
      </c>
      <c r="D48" t="s">
        <v>470</v>
      </c>
      <c r="E48" t="s">
        <v>417</v>
      </c>
      <c r="F48" t="s">
        <v>471</v>
      </c>
      <c r="G48" t="s">
        <v>426</v>
      </c>
      <c r="I48">
        <v>55</v>
      </c>
    </row>
    <row r="49" spans="1:9">
      <c r="A49">
        <v>48</v>
      </c>
      <c r="B49" s="45">
        <v>41654</v>
      </c>
      <c r="C49" s="80" t="s">
        <v>422</v>
      </c>
      <c r="D49" t="s">
        <v>472</v>
      </c>
      <c r="E49" t="s">
        <v>435</v>
      </c>
      <c r="F49" t="s">
        <v>450</v>
      </c>
      <c r="G49" t="s">
        <v>426</v>
      </c>
      <c r="I49">
        <v>50</v>
      </c>
    </row>
    <row r="50" spans="1:9">
      <c r="A50">
        <v>49</v>
      </c>
      <c r="B50" s="45">
        <v>41654</v>
      </c>
      <c r="C50" s="80" t="s">
        <v>423</v>
      </c>
      <c r="D50" t="s">
        <v>446</v>
      </c>
      <c r="E50" t="s">
        <v>417</v>
      </c>
      <c r="F50" t="s">
        <v>420</v>
      </c>
      <c r="G50" t="s">
        <v>426</v>
      </c>
      <c r="I50">
        <v>644</v>
      </c>
    </row>
    <row r="51" spans="1:9">
      <c r="A51">
        <v>50</v>
      </c>
      <c r="B51" s="45">
        <v>41655</v>
      </c>
      <c r="C51" s="80" t="s">
        <v>427</v>
      </c>
      <c r="D51" t="s">
        <v>473</v>
      </c>
      <c r="E51" t="s">
        <v>417</v>
      </c>
      <c r="F51" t="s">
        <v>420</v>
      </c>
      <c r="G51" t="s">
        <v>426</v>
      </c>
      <c r="I51">
        <v>119.62</v>
      </c>
    </row>
    <row r="52" spans="1:9">
      <c r="A52">
        <v>51</v>
      </c>
      <c r="B52" s="45">
        <v>41655</v>
      </c>
      <c r="C52" s="80" t="s">
        <v>429</v>
      </c>
      <c r="D52" t="s">
        <v>428</v>
      </c>
      <c r="G52" t="s">
        <v>421</v>
      </c>
      <c r="H52">
        <v>2000</v>
      </c>
    </row>
    <row r="53" spans="1:9">
      <c r="A53">
        <v>52</v>
      </c>
      <c r="B53" s="45">
        <v>41655</v>
      </c>
      <c r="C53" s="80" t="s">
        <v>432</v>
      </c>
      <c r="D53" t="s">
        <v>458</v>
      </c>
      <c r="E53" t="s">
        <v>459</v>
      </c>
      <c r="F53" t="s">
        <v>474</v>
      </c>
      <c r="G53" t="s">
        <v>421</v>
      </c>
      <c r="I53">
        <v>50</v>
      </c>
    </row>
    <row r="54" spans="1:9">
      <c r="A54">
        <v>53</v>
      </c>
      <c r="B54" s="45">
        <v>41655</v>
      </c>
      <c r="C54" s="80" t="s">
        <v>434</v>
      </c>
      <c r="D54" t="s">
        <v>458</v>
      </c>
      <c r="E54" t="s">
        <v>459</v>
      </c>
      <c r="F54" t="s">
        <v>475</v>
      </c>
      <c r="G54" t="s">
        <v>421</v>
      </c>
      <c r="I54">
        <v>100</v>
      </c>
    </row>
    <row r="55" spans="1:9">
      <c r="A55">
        <v>54</v>
      </c>
      <c r="B55" s="45">
        <v>41655</v>
      </c>
      <c r="C55" s="80" t="s">
        <v>436</v>
      </c>
      <c r="D55" t="s">
        <v>476</v>
      </c>
      <c r="E55" t="s">
        <v>459</v>
      </c>
      <c r="F55" t="s">
        <v>476</v>
      </c>
      <c r="G55" t="s">
        <v>421</v>
      </c>
      <c r="I55">
        <v>100</v>
      </c>
    </row>
    <row r="56" spans="1:9">
      <c r="A56">
        <v>55</v>
      </c>
      <c r="B56" s="45">
        <v>41656</v>
      </c>
      <c r="C56" s="80" t="s">
        <v>451</v>
      </c>
      <c r="D56" t="s">
        <v>444</v>
      </c>
      <c r="E56" t="s">
        <v>417</v>
      </c>
      <c r="F56" t="s">
        <v>420</v>
      </c>
      <c r="G56" t="s">
        <v>421</v>
      </c>
      <c r="I56">
        <v>30</v>
      </c>
    </row>
    <row r="57" spans="1:9">
      <c r="A57">
        <v>56</v>
      </c>
      <c r="B57" s="45">
        <v>41656</v>
      </c>
      <c r="C57" s="80" t="s">
        <v>443</v>
      </c>
      <c r="D57" t="s">
        <v>444</v>
      </c>
      <c r="E57" t="s">
        <v>417</v>
      </c>
      <c r="F57" t="s">
        <v>420</v>
      </c>
      <c r="G57" t="s">
        <v>421</v>
      </c>
      <c r="I57">
        <v>7.5</v>
      </c>
    </row>
    <row r="58" spans="1:9">
      <c r="A58">
        <v>57</v>
      </c>
      <c r="B58" s="45">
        <v>41656</v>
      </c>
      <c r="C58" s="80" t="s">
        <v>445</v>
      </c>
      <c r="D58" t="s">
        <v>449</v>
      </c>
      <c r="E58" t="s">
        <v>435</v>
      </c>
      <c r="F58" t="s">
        <v>450</v>
      </c>
      <c r="G58" t="s">
        <v>421</v>
      </c>
      <c r="I58">
        <v>50</v>
      </c>
    </row>
    <row r="59" spans="1:9">
      <c r="A59">
        <v>58</v>
      </c>
      <c r="B59" s="45">
        <v>41656</v>
      </c>
      <c r="C59" s="80" t="s">
        <v>415</v>
      </c>
      <c r="D59" t="s">
        <v>477</v>
      </c>
      <c r="E59" t="s">
        <v>435</v>
      </c>
      <c r="F59" t="s">
        <v>478</v>
      </c>
      <c r="G59" t="s">
        <v>426</v>
      </c>
      <c r="I59">
        <v>60</v>
      </c>
    </row>
    <row r="60" spans="1:9">
      <c r="A60">
        <v>59</v>
      </c>
      <c r="B60" s="45">
        <v>41657</v>
      </c>
      <c r="C60" s="80" t="s">
        <v>418</v>
      </c>
      <c r="D60" t="s">
        <v>430</v>
      </c>
      <c r="E60" t="s">
        <v>417</v>
      </c>
      <c r="F60" t="s">
        <v>431</v>
      </c>
      <c r="G60" t="s">
        <v>426</v>
      </c>
      <c r="I60">
        <v>60</v>
      </c>
    </row>
    <row r="61" spans="1:9">
      <c r="A61">
        <v>60</v>
      </c>
      <c r="B61" s="45">
        <v>41657</v>
      </c>
      <c r="C61" s="80" t="s">
        <v>422</v>
      </c>
      <c r="D61" t="s">
        <v>444</v>
      </c>
      <c r="E61" t="s">
        <v>417</v>
      </c>
      <c r="F61" t="s">
        <v>420</v>
      </c>
      <c r="G61" t="s">
        <v>421</v>
      </c>
      <c r="I61">
        <v>37.5</v>
      </c>
    </row>
    <row r="62" spans="1:9">
      <c r="A62">
        <v>61</v>
      </c>
      <c r="B62" s="45">
        <v>41657</v>
      </c>
      <c r="C62" s="80" t="s">
        <v>423</v>
      </c>
      <c r="D62" t="s">
        <v>442</v>
      </c>
      <c r="E62" t="s">
        <v>417</v>
      </c>
      <c r="F62" t="s">
        <v>420</v>
      </c>
      <c r="G62" t="s">
        <v>421</v>
      </c>
      <c r="I62">
        <v>399</v>
      </c>
    </row>
    <row r="63" spans="1:9">
      <c r="A63">
        <v>62</v>
      </c>
      <c r="B63" s="45">
        <v>41658</v>
      </c>
      <c r="C63" s="80" t="s">
        <v>451</v>
      </c>
      <c r="D63" t="s">
        <v>444</v>
      </c>
      <c r="E63" t="s">
        <v>417</v>
      </c>
      <c r="F63" t="s">
        <v>420</v>
      </c>
      <c r="G63" t="s">
        <v>421</v>
      </c>
      <c r="I63">
        <v>30</v>
      </c>
    </row>
    <row r="64" spans="1:9">
      <c r="A64">
        <v>63</v>
      </c>
      <c r="B64" s="45">
        <v>41659</v>
      </c>
      <c r="C64" s="80" t="s">
        <v>443</v>
      </c>
      <c r="D64" t="s">
        <v>444</v>
      </c>
      <c r="E64" t="s">
        <v>417</v>
      </c>
      <c r="F64" t="s">
        <v>420</v>
      </c>
      <c r="G64" t="s">
        <v>421</v>
      </c>
      <c r="I64">
        <v>30</v>
      </c>
    </row>
    <row r="65" spans="1:9">
      <c r="A65">
        <v>64</v>
      </c>
      <c r="B65" s="45">
        <v>41659</v>
      </c>
      <c r="C65" s="80" t="s">
        <v>445</v>
      </c>
      <c r="D65" t="s">
        <v>479</v>
      </c>
      <c r="E65" t="s">
        <v>435</v>
      </c>
      <c r="F65" t="s">
        <v>480</v>
      </c>
      <c r="G65" t="s">
        <v>421</v>
      </c>
      <c r="I65">
        <v>400</v>
      </c>
    </row>
    <row r="66" spans="1:9">
      <c r="A66">
        <v>65</v>
      </c>
      <c r="B66" s="45">
        <v>41660</v>
      </c>
      <c r="C66" s="80" t="s">
        <v>415</v>
      </c>
      <c r="D66" t="s">
        <v>461</v>
      </c>
      <c r="E66" t="s">
        <v>417</v>
      </c>
      <c r="F66" t="s">
        <v>420</v>
      </c>
      <c r="G66" t="s">
        <v>426</v>
      </c>
      <c r="I66">
        <v>399</v>
      </c>
    </row>
    <row r="67" spans="1:9">
      <c r="A67">
        <v>66</v>
      </c>
      <c r="B67" s="45">
        <v>41660</v>
      </c>
      <c r="C67" s="80" t="s">
        <v>418</v>
      </c>
      <c r="D67" t="s">
        <v>481</v>
      </c>
      <c r="E67" t="s">
        <v>435</v>
      </c>
      <c r="F67" t="s">
        <v>482</v>
      </c>
      <c r="G67" t="s">
        <v>421</v>
      </c>
      <c r="I67">
        <v>10</v>
      </c>
    </row>
    <row r="68" spans="1:9">
      <c r="A68">
        <v>67</v>
      </c>
      <c r="B68" s="45">
        <v>41660</v>
      </c>
      <c r="C68" s="80" t="s">
        <v>422</v>
      </c>
      <c r="D68" t="s">
        <v>444</v>
      </c>
      <c r="E68" t="s">
        <v>417</v>
      </c>
      <c r="F68" t="s">
        <v>420</v>
      </c>
      <c r="G68" t="s">
        <v>421</v>
      </c>
      <c r="I68">
        <v>30</v>
      </c>
    </row>
    <row r="69" spans="1:9">
      <c r="A69">
        <v>68</v>
      </c>
      <c r="B69" s="45">
        <v>41660</v>
      </c>
      <c r="C69" s="80" t="s">
        <v>423</v>
      </c>
      <c r="D69" t="s">
        <v>428</v>
      </c>
      <c r="G69" t="s">
        <v>421</v>
      </c>
      <c r="H69">
        <v>2000</v>
      </c>
    </row>
    <row r="70" spans="1:9">
      <c r="A70">
        <v>69</v>
      </c>
      <c r="B70" s="45">
        <v>41660</v>
      </c>
      <c r="C70" s="80" t="s">
        <v>427</v>
      </c>
      <c r="D70" t="s">
        <v>483</v>
      </c>
      <c r="E70" t="s">
        <v>435</v>
      </c>
      <c r="F70" t="s">
        <v>456</v>
      </c>
      <c r="G70" t="s">
        <v>421</v>
      </c>
      <c r="I70">
        <v>53</v>
      </c>
    </row>
    <row r="71" spans="1:9">
      <c r="A71">
        <v>70</v>
      </c>
      <c r="B71" s="45">
        <v>41661</v>
      </c>
      <c r="C71" s="80" t="s">
        <v>429</v>
      </c>
      <c r="D71" t="s">
        <v>444</v>
      </c>
      <c r="E71" t="s">
        <v>417</v>
      </c>
      <c r="F71" t="s">
        <v>420</v>
      </c>
      <c r="G71" t="s">
        <v>421</v>
      </c>
      <c r="I71">
        <v>60</v>
      </c>
    </row>
    <row r="72" spans="1:9">
      <c r="A72">
        <v>71</v>
      </c>
      <c r="B72" s="45">
        <v>41661</v>
      </c>
      <c r="C72" s="80" t="s">
        <v>432</v>
      </c>
      <c r="D72" t="s">
        <v>428</v>
      </c>
      <c r="G72" t="s">
        <v>421</v>
      </c>
      <c r="H72">
        <v>2000</v>
      </c>
      <c r="I72">
        <v>30</v>
      </c>
    </row>
    <row r="73" spans="1:9">
      <c r="A73">
        <v>72</v>
      </c>
      <c r="B73" s="45">
        <v>41646</v>
      </c>
      <c r="C73" s="80" t="s">
        <v>434</v>
      </c>
      <c r="D73" t="s">
        <v>484</v>
      </c>
      <c r="E73" t="s">
        <v>417</v>
      </c>
      <c r="F73" t="s">
        <v>431</v>
      </c>
      <c r="G73" t="s">
        <v>426</v>
      </c>
      <c r="I73">
        <v>95</v>
      </c>
    </row>
    <row r="74" spans="1:9">
      <c r="A74">
        <v>73</v>
      </c>
      <c r="B74" s="45">
        <v>41661</v>
      </c>
      <c r="C74" s="80" t="s">
        <v>436</v>
      </c>
      <c r="D74" t="s">
        <v>430</v>
      </c>
      <c r="E74" t="s">
        <v>417</v>
      </c>
      <c r="F74" t="s">
        <v>431</v>
      </c>
      <c r="G74" t="s">
        <v>426</v>
      </c>
      <c r="I74">
        <v>114</v>
      </c>
    </row>
    <row r="75" spans="1:9">
      <c r="A75">
        <v>74</v>
      </c>
      <c r="B75" s="45">
        <v>41661</v>
      </c>
      <c r="C75" s="80" t="s">
        <v>437</v>
      </c>
      <c r="D75" t="s">
        <v>485</v>
      </c>
      <c r="E75" t="s">
        <v>417</v>
      </c>
      <c r="F75" t="s">
        <v>425</v>
      </c>
      <c r="G75" t="s">
        <v>426</v>
      </c>
      <c r="I75">
        <v>630</v>
      </c>
    </row>
    <row r="76" spans="1:9">
      <c r="A76">
        <v>75</v>
      </c>
      <c r="B76" s="45">
        <v>41661</v>
      </c>
      <c r="C76" s="80" t="s">
        <v>438</v>
      </c>
      <c r="D76" t="s">
        <v>486</v>
      </c>
      <c r="E76" t="s">
        <v>417</v>
      </c>
      <c r="F76" t="s">
        <v>420</v>
      </c>
      <c r="G76" t="s">
        <v>426</v>
      </c>
      <c r="I76">
        <v>735</v>
      </c>
    </row>
    <row r="77" spans="1:9">
      <c r="A77">
        <v>76</v>
      </c>
      <c r="B77" s="45">
        <v>41662</v>
      </c>
      <c r="C77" s="80" t="s">
        <v>451</v>
      </c>
      <c r="D77" t="s">
        <v>487</v>
      </c>
      <c r="E77" t="s">
        <v>435</v>
      </c>
      <c r="F77" t="s">
        <v>463</v>
      </c>
      <c r="G77" t="s">
        <v>426</v>
      </c>
      <c r="I77">
        <v>100</v>
      </c>
    </row>
    <row r="78" spans="1:9">
      <c r="A78">
        <v>77</v>
      </c>
      <c r="B78" s="45">
        <v>41662</v>
      </c>
      <c r="C78" s="80" t="s">
        <v>443</v>
      </c>
      <c r="D78" t="s">
        <v>446</v>
      </c>
      <c r="E78" t="s">
        <v>417</v>
      </c>
      <c r="F78" t="s">
        <v>420</v>
      </c>
      <c r="G78" t="s">
        <v>426</v>
      </c>
      <c r="I78">
        <v>690</v>
      </c>
    </row>
    <row r="79" spans="1:9">
      <c r="A79">
        <v>78</v>
      </c>
      <c r="B79" s="45">
        <v>41662</v>
      </c>
      <c r="C79" s="80" t="s">
        <v>445</v>
      </c>
      <c r="D79" t="s">
        <v>488</v>
      </c>
      <c r="E79" t="s">
        <v>417</v>
      </c>
      <c r="F79" t="s">
        <v>420</v>
      </c>
      <c r="G79" t="s">
        <v>426</v>
      </c>
      <c r="I79">
        <v>475.6</v>
      </c>
    </row>
    <row r="80" spans="1:9">
      <c r="A80">
        <v>79</v>
      </c>
      <c r="B80" s="45">
        <v>41662</v>
      </c>
      <c r="C80" s="80" t="s">
        <v>415</v>
      </c>
      <c r="D80" t="s">
        <v>444</v>
      </c>
      <c r="E80" t="s">
        <v>417</v>
      </c>
      <c r="F80" t="s">
        <v>420</v>
      </c>
      <c r="G80" t="s">
        <v>421</v>
      </c>
      <c r="I80">
        <v>30</v>
      </c>
    </row>
    <row r="81" spans="1:9">
      <c r="A81">
        <v>80</v>
      </c>
      <c r="B81" s="45">
        <v>41662</v>
      </c>
      <c r="C81" s="80" t="s">
        <v>418</v>
      </c>
      <c r="D81" t="s">
        <v>489</v>
      </c>
      <c r="E81" t="s">
        <v>417</v>
      </c>
      <c r="F81" t="s">
        <v>425</v>
      </c>
      <c r="G81" t="s">
        <v>421</v>
      </c>
      <c r="I81">
        <v>220</v>
      </c>
    </row>
    <row r="82" spans="1:9">
      <c r="A82">
        <v>81</v>
      </c>
      <c r="B82" s="45">
        <v>41662</v>
      </c>
      <c r="C82" s="80" t="s">
        <v>422</v>
      </c>
      <c r="D82" t="s">
        <v>490</v>
      </c>
      <c r="E82" t="s">
        <v>417</v>
      </c>
      <c r="F82" t="s">
        <v>491</v>
      </c>
      <c r="G82" t="s">
        <v>421</v>
      </c>
      <c r="I82">
        <v>222.05</v>
      </c>
    </row>
    <row r="83" spans="1:9">
      <c r="A83">
        <v>82</v>
      </c>
      <c r="B83" s="45">
        <v>41663</v>
      </c>
      <c r="C83" s="80" t="s">
        <v>423</v>
      </c>
      <c r="D83" t="s">
        <v>428</v>
      </c>
      <c r="G83" t="s">
        <v>421</v>
      </c>
      <c r="H83">
        <v>2000</v>
      </c>
    </row>
    <row r="84" spans="1:9">
      <c r="A84">
        <v>83</v>
      </c>
      <c r="B84" s="45">
        <v>41663</v>
      </c>
      <c r="C84" s="80" t="s">
        <v>427</v>
      </c>
      <c r="D84" t="s">
        <v>492</v>
      </c>
      <c r="E84" t="s">
        <v>417</v>
      </c>
      <c r="F84" t="s">
        <v>425</v>
      </c>
      <c r="G84" t="s">
        <v>421</v>
      </c>
      <c r="I84">
        <v>250</v>
      </c>
    </row>
    <row r="85" spans="1:9">
      <c r="A85">
        <v>84</v>
      </c>
      <c r="B85" s="45">
        <v>41663</v>
      </c>
      <c r="C85" s="80" t="s">
        <v>429</v>
      </c>
      <c r="D85" t="s">
        <v>493</v>
      </c>
      <c r="E85" t="s">
        <v>417</v>
      </c>
      <c r="F85" t="s">
        <v>425</v>
      </c>
      <c r="G85" t="s">
        <v>421</v>
      </c>
      <c r="I85">
        <v>100</v>
      </c>
    </row>
    <row r="86" spans="1:9">
      <c r="A86">
        <v>85</v>
      </c>
      <c r="B86" s="45">
        <v>41663</v>
      </c>
      <c r="C86" s="80" t="s">
        <v>432</v>
      </c>
      <c r="D86" t="s">
        <v>494</v>
      </c>
      <c r="E86" t="s">
        <v>417</v>
      </c>
      <c r="F86" t="s">
        <v>425</v>
      </c>
      <c r="G86" t="s">
        <v>421</v>
      </c>
      <c r="I86">
        <v>250</v>
      </c>
    </row>
    <row r="87" spans="1:9">
      <c r="A87">
        <v>86</v>
      </c>
      <c r="B87" s="45">
        <v>41663</v>
      </c>
      <c r="C87" s="80" t="s">
        <v>434</v>
      </c>
      <c r="D87" t="s">
        <v>495</v>
      </c>
      <c r="E87" t="s">
        <v>417</v>
      </c>
      <c r="F87" t="s">
        <v>425</v>
      </c>
      <c r="G87" t="s">
        <v>421</v>
      </c>
      <c r="I87">
        <v>100</v>
      </c>
    </row>
    <row r="88" spans="1:9">
      <c r="A88">
        <v>87</v>
      </c>
      <c r="B88" s="45">
        <v>41664</v>
      </c>
      <c r="C88" s="80" t="s">
        <v>436</v>
      </c>
      <c r="D88" t="s">
        <v>444</v>
      </c>
      <c r="E88" t="s">
        <v>417</v>
      </c>
      <c r="F88" t="s">
        <v>420</v>
      </c>
      <c r="G88" t="s">
        <v>421</v>
      </c>
      <c r="I88">
        <v>37.5</v>
      </c>
    </row>
    <row r="89" spans="1:9">
      <c r="A89">
        <v>88</v>
      </c>
      <c r="B89" s="45">
        <v>41664</v>
      </c>
      <c r="C89" s="80" t="s">
        <v>437</v>
      </c>
      <c r="D89" t="s">
        <v>442</v>
      </c>
      <c r="E89" t="s">
        <v>417</v>
      </c>
      <c r="F89" t="s">
        <v>420</v>
      </c>
      <c r="G89" t="s">
        <v>421</v>
      </c>
      <c r="I89">
        <v>456</v>
      </c>
    </row>
    <row r="90" spans="1:9">
      <c r="A90">
        <v>89</v>
      </c>
      <c r="B90" s="45">
        <v>41665</v>
      </c>
      <c r="C90" s="80" t="s">
        <v>438</v>
      </c>
      <c r="D90" t="s">
        <v>444</v>
      </c>
      <c r="E90" t="s">
        <v>417</v>
      </c>
      <c r="F90" t="s">
        <v>420</v>
      </c>
      <c r="G90" t="s">
        <v>421</v>
      </c>
      <c r="I90">
        <v>37.5</v>
      </c>
    </row>
    <row r="91" spans="1:9">
      <c r="A91">
        <v>90</v>
      </c>
      <c r="B91" s="45">
        <v>41666</v>
      </c>
      <c r="C91" s="80" t="s">
        <v>451</v>
      </c>
      <c r="D91" t="s">
        <v>444</v>
      </c>
      <c r="E91" t="s">
        <v>417</v>
      </c>
      <c r="F91" t="s">
        <v>420</v>
      </c>
      <c r="G91" t="s">
        <v>421</v>
      </c>
      <c r="I91">
        <v>30</v>
      </c>
    </row>
    <row r="92" spans="1:9">
      <c r="A92">
        <v>91</v>
      </c>
      <c r="B92" s="45">
        <v>41666</v>
      </c>
      <c r="C92" s="80" t="s">
        <v>443</v>
      </c>
      <c r="D92" t="s">
        <v>496</v>
      </c>
      <c r="E92" t="s">
        <v>417</v>
      </c>
      <c r="F92" t="s">
        <v>420</v>
      </c>
      <c r="G92" t="s">
        <v>421</v>
      </c>
      <c r="I92">
        <v>25.5</v>
      </c>
    </row>
    <row r="93" spans="1:9">
      <c r="A93">
        <v>92</v>
      </c>
      <c r="B93" s="45">
        <v>41666</v>
      </c>
      <c r="C93" s="80" t="s">
        <v>445</v>
      </c>
      <c r="D93" t="s">
        <v>497</v>
      </c>
      <c r="E93" t="s">
        <v>417</v>
      </c>
      <c r="F93" t="s">
        <v>425</v>
      </c>
      <c r="G93" t="s">
        <v>421</v>
      </c>
      <c r="I93">
        <v>200</v>
      </c>
    </row>
    <row r="94" spans="1:9">
      <c r="A94">
        <v>93</v>
      </c>
      <c r="B94" s="45">
        <v>41666</v>
      </c>
      <c r="C94" s="80" t="s">
        <v>415</v>
      </c>
      <c r="D94" t="s">
        <v>498</v>
      </c>
      <c r="E94" t="s">
        <v>417</v>
      </c>
      <c r="F94" t="s">
        <v>425</v>
      </c>
      <c r="G94" t="s">
        <v>421</v>
      </c>
      <c r="I94">
        <v>20</v>
      </c>
    </row>
    <row r="95" spans="1:9">
      <c r="A95">
        <v>94</v>
      </c>
      <c r="B95" s="45">
        <v>41666</v>
      </c>
      <c r="C95" s="80" t="s">
        <v>418</v>
      </c>
      <c r="D95" t="s">
        <v>499</v>
      </c>
      <c r="E95" t="s">
        <v>417</v>
      </c>
      <c r="F95" t="s">
        <v>431</v>
      </c>
      <c r="G95" t="s">
        <v>426</v>
      </c>
      <c r="I95">
        <v>60</v>
      </c>
    </row>
    <row r="96" spans="1:9">
      <c r="A96">
        <v>95</v>
      </c>
      <c r="B96" s="45">
        <v>41666</v>
      </c>
      <c r="C96" s="80" t="s">
        <v>422</v>
      </c>
      <c r="D96" t="s">
        <v>500</v>
      </c>
      <c r="E96" t="s">
        <v>417</v>
      </c>
      <c r="F96" t="s">
        <v>425</v>
      </c>
      <c r="G96" t="s">
        <v>426</v>
      </c>
      <c r="I96">
        <v>240</v>
      </c>
    </row>
    <row r="97" spans="1:9">
      <c r="A97">
        <v>96</v>
      </c>
      <c r="B97" s="45">
        <v>41666</v>
      </c>
      <c r="C97" s="80" t="s">
        <v>423</v>
      </c>
      <c r="D97" t="s">
        <v>501</v>
      </c>
      <c r="E97" t="s">
        <v>417</v>
      </c>
      <c r="F97" t="s">
        <v>471</v>
      </c>
      <c r="G97" t="s">
        <v>426</v>
      </c>
      <c r="I97">
        <v>400</v>
      </c>
    </row>
    <row r="98" spans="1:9">
      <c r="A98">
        <v>97</v>
      </c>
      <c r="B98" s="45">
        <v>41666</v>
      </c>
      <c r="C98" s="80" t="s">
        <v>427</v>
      </c>
      <c r="D98" t="s">
        <v>502</v>
      </c>
      <c r="E98" t="s">
        <v>417</v>
      </c>
      <c r="F98" t="s">
        <v>503</v>
      </c>
      <c r="G98" t="s">
        <v>426</v>
      </c>
      <c r="I98">
        <v>50</v>
      </c>
    </row>
    <row r="99" spans="1:9">
      <c r="A99">
        <v>98</v>
      </c>
      <c r="B99" s="45">
        <v>41666</v>
      </c>
      <c r="C99" s="80" t="s">
        <v>429</v>
      </c>
      <c r="D99" t="s">
        <v>504</v>
      </c>
      <c r="E99" t="s">
        <v>435</v>
      </c>
      <c r="F99" t="s">
        <v>505</v>
      </c>
      <c r="G99" t="s">
        <v>426</v>
      </c>
      <c r="I99">
        <v>170</v>
      </c>
    </row>
    <row r="100" spans="1:9">
      <c r="A100">
        <v>99</v>
      </c>
      <c r="B100" s="45">
        <v>41666</v>
      </c>
      <c r="C100" s="80" t="s">
        <v>432</v>
      </c>
      <c r="D100" t="s">
        <v>506</v>
      </c>
      <c r="E100" t="s">
        <v>417</v>
      </c>
      <c r="F100" t="s">
        <v>431</v>
      </c>
      <c r="G100" t="s">
        <v>426</v>
      </c>
      <c r="I100">
        <v>221.5</v>
      </c>
    </row>
    <row r="101" spans="1:9">
      <c r="A101">
        <v>100</v>
      </c>
      <c r="B101" s="45">
        <v>41666</v>
      </c>
      <c r="C101" s="80" t="s">
        <v>434</v>
      </c>
      <c r="D101" t="s">
        <v>428</v>
      </c>
      <c r="G101" t="s">
        <v>421</v>
      </c>
      <c r="H101">
        <v>2000</v>
      </c>
    </row>
    <row r="102" spans="1:9">
      <c r="A102">
        <v>101</v>
      </c>
      <c r="B102" s="45">
        <v>41667</v>
      </c>
      <c r="C102" s="80" t="s">
        <v>451</v>
      </c>
      <c r="D102" t="s">
        <v>507</v>
      </c>
      <c r="E102" t="s">
        <v>435</v>
      </c>
      <c r="F102" t="s">
        <v>508</v>
      </c>
      <c r="G102" t="s">
        <v>426</v>
      </c>
      <c r="I102">
        <v>150</v>
      </c>
    </row>
    <row r="103" spans="1:9">
      <c r="A103">
        <v>102</v>
      </c>
      <c r="B103" s="45">
        <v>41667</v>
      </c>
      <c r="C103" s="80" t="s">
        <v>443</v>
      </c>
      <c r="D103" t="s">
        <v>444</v>
      </c>
      <c r="E103" t="s">
        <v>417</v>
      </c>
      <c r="F103" t="s">
        <v>420</v>
      </c>
      <c r="G103" t="s">
        <v>421</v>
      </c>
      <c r="I103">
        <v>37.5</v>
      </c>
    </row>
    <row r="104" spans="1:9">
      <c r="A104">
        <v>103</v>
      </c>
      <c r="B104" s="45">
        <v>41667</v>
      </c>
      <c r="C104" s="80" t="s">
        <v>445</v>
      </c>
      <c r="D104" t="s">
        <v>509</v>
      </c>
      <c r="E104" t="s">
        <v>435</v>
      </c>
      <c r="F104" t="s">
        <v>508</v>
      </c>
      <c r="G104" t="s">
        <v>421</v>
      </c>
      <c r="I104">
        <v>15</v>
      </c>
    </row>
    <row r="105" spans="1:9">
      <c r="A105">
        <v>104</v>
      </c>
      <c r="B105" s="45">
        <v>41667</v>
      </c>
      <c r="C105" s="80" t="s">
        <v>415</v>
      </c>
      <c r="D105" t="s">
        <v>510</v>
      </c>
      <c r="E105" t="s">
        <v>435</v>
      </c>
      <c r="F105" t="s">
        <v>450</v>
      </c>
      <c r="G105" t="s">
        <v>421</v>
      </c>
      <c r="I105">
        <v>8</v>
      </c>
    </row>
    <row r="106" spans="1:9">
      <c r="A106">
        <v>105</v>
      </c>
      <c r="B106" s="45">
        <v>41668</v>
      </c>
      <c r="C106" s="80" t="s">
        <v>418</v>
      </c>
      <c r="D106" t="s">
        <v>444</v>
      </c>
      <c r="E106" t="s">
        <v>417</v>
      </c>
      <c r="F106" t="s">
        <v>420</v>
      </c>
      <c r="G106" t="s">
        <v>421</v>
      </c>
      <c r="I106">
        <v>37.5</v>
      </c>
    </row>
    <row r="107" spans="1:9">
      <c r="A107">
        <v>106</v>
      </c>
      <c r="B107" s="45">
        <v>41668</v>
      </c>
      <c r="C107" s="80" t="s">
        <v>422</v>
      </c>
      <c r="D107" t="s">
        <v>511</v>
      </c>
      <c r="E107" t="s">
        <v>435</v>
      </c>
      <c r="F107" t="s">
        <v>456</v>
      </c>
      <c r="G107" t="s">
        <v>421</v>
      </c>
      <c r="I107">
        <v>20</v>
      </c>
    </row>
    <row r="108" spans="1:9">
      <c r="A108">
        <v>107</v>
      </c>
      <c r="B108" s="45">
        <v>41669</v>
      </c>
      <c r="C108" s="80" t="s">
        <v>423</v>
      </c>
      <c r="D108" t="s">
        <v>444</v>
      </c>
      <c r="E108" t="s">
        <v>417</v>
      </c>
      <c r="F108" t="s">
        <v>420</v>
      </c>
      <c r="G108" t="s">
        <v>421</v>
      </c>
      <c r="I108">
        <v>30</v>
      </c>
    </row>
    <row r="109" spans="1:9">
      <c r="A109">
        <v>108</v>
      </c>
      <c r="B109" s="45">
        <v>41669</v>
      </c>
      <c r="C109" s="80" t="s">
        <v>427</v>
      </c>
      <c r="D109" t="s">
        <v>512</v>
      </c>
      <c r="E109" t="s">
        <v>417</v>
      </c>
      <c r="F109" t="s">
        <v>425</v>
      </c>
      <c r="G109" t="s">
        <v>421</v>
      </c>
      <c r="I109">
        <v>24</v>
      </c>
    </row>
    <row r="110" spans="1:9">
      <c r="A110">
        <v>109</v>
      </c>
      <c r="B110" s="45">
        <v>41669</v>
      </c>
      <c r="C110" s="80" t="s">
        <v>429</v>
      </c>
      <c r="D110" t="s">
        <v>513</v>
      </c>
      <c r="E110" t="s">
        <v>417</v>
      </c>
      <c r="F110" t="s">
        <v>425</v>
      </c>
      <c r="G110" t="s">
        <v>421</v>
      </c>
      <c r="I110">
        <v>32.1</v>
      </c>
    </row>
    <row r="111" spans="1:9">
      <c r="A111">
        <v>110</v>
      </c>
      <c r="B111" s="45">
        <v>41669</v>
      </c>
      <c r="C111" s="80" t="s">
        <v>432</v>
      </c>
      <c r="D111" t="s">
        <v>428</v>
      </c>
      <c r="G111" t="s">
        <v>421</v>
      </c>
      <c r="H111">
        <v>35500</v>
      </c>
    </row>
    <row r="112" spans="1:9">
      <c r="A112">
        <v>111</v>
      </c>
      <c r="B112" s="45">
        <v>41669</v>
      </c>
      <c r="C112" s="80" t="s">
        <v>434</v>
      </c>
      <c r="D112" t="s">
        <v>514</v>
      </c>
      <c r="E112" t="s">
        <v>417</v>
      </c>
      <c r="F112" t="s">
        <v>425</v>
      </c>
      <c r="G112" t="s">
        <v>426</v>
      </c>
      <c r="I112">
        <v>150</v>
      </c>
    </row>
    <row r="113" spans="1:9">
      <c r="A113">
        <v>112</v>
      </c>
      <c r="B113" s="45">
        <v>41669</v>
      </c>
      <c r="C113" s="80" t="s">
        <v>436</v>
      </c>
      <c r="D113" t="s">
        <v>515</v>
      </c>
      <c r="E113" t="s">
        <v>435</v>
      </c>
      <c r="F113" t="s">
        <v>456</v>
      </c>
      <c r="G113" t="s">
        <v>426</v>
      </c>
      <c r="I113">
        <v>260</v>
      </c>
    </row>
    <row r="114" spans="1:9">
      <c r="A114">
        <v>113</v>
      </c>
      <c r="B114" s="45">
        <v>41669</v>
      </c>
      <c r="C114" s="80" t="s">
        <v>437</v>
      </c>
      <c r="D114" t="s">
        <v>461</v>
      </c>
      <c r="E114" t="s">
        <v>417</v>
      </c>
      <c r="F114" t="s">
        <v>420</v>
      </c>
      <c r="G114" t="s">
        <v>426</v>
      </c>
      <c r="I114">
        <v>351.33</v>
      </c>
    </row>
    <row r="115" spans="1:9">
      <c r="A115">
        <v>114</v>
      </c>
      <c r="B115" s="45">
        <v>41670</v>
      </c>
      <c r="C115" s="80" t="s">
        <v>451</v>
      </c>
      <c r="D115" t="s">
        <v>428</v>
      </c>
      <c r="G115" t="s">
        <v>421</v>
      </c>
      <c r="H115">
        <v>2000</v>
      </c>
    </row>
    <row r="116" spans="1:9">
      <c r="A116">
        <v>115</v>
      </c>
      <c r="B116" s="45">
        <v>41670</v>
      </c>
      <c r="C116" s="80" t="s">
        <v>443</v>
      </c>
      <c r="D116" t="s">
        <v>444</v>
      </c>
      <c r="E116" t="s">
        <v>417</v>
      </c>
      <c r="F116" t="s">
        <v>420</v>
      </c>
      <c r="G116" t="s">
        <v>421</v>
      </c>
      <c r="I116">
        <v>30</v>
      </c>
    </row>
    <row r="117" spans="1:9">
      <c r="A117">
        <v>116</v>
      </c>
      <c r="B117" s="45">
        <v>41671</v>
      </c>
      <c r="C117" s="80" t="s">
        <v>445</v>
      </c>
      <c r="D117" t="s">
        <v>444</v>
      </c>
      <c r="E117" t="s">
        <v>417</v>
      </c>
      <c r="F117" t="s">
        <v>420</v>
      </c>
      <c r="G117" t="s">
        <v>421</v>
      </c>
      <c r="I117">
        <v>30</v>
      </c>
    </row>
    <row r="118" spans="1:9">
      <c r="A118">
        <v>117</v>
      </c>
      <c r="B118" s="45">
        <v>41671</v>
      </c>
      <c r="C118" s="80" t="s">
        <v>415</v>
      </c>
      <c r="D118" t="s">
        <v>442</v>
      </c>
      <c r="E118" t="s">
        <v>417</v>
      </c>
      <c r="F118" t="s">
        <v>420</v>
      </c>
      <c r="G118" t="s">
        <v>421</v>
      </c>
      <c r="I118">
        <v>372</v>
      </c>
    </row>
    <row r="119" spans="1:9">
      <c r="A119">
        <v>118</v>
      </c>
      <c r="B119" s="45">
        <v>41671</v>
      </c>
      <c r="C119" s="80" t="s">
        <v>418</v>
      </c>
      <c r="D119" t="s">
        <v>488</v>
      </c>
      <c r="E119" t="s">
        <v>417</v>
      </c>
      <c r="F119" t="s">
        <v>420</v>
      </c>
      <c r="G119" t="s">
        <v>426</v>
      </c>
      <c r="I119">
        <v>1269.5899999999999</v>
      </c>
    </row>
    <row r="120" spans="1:9">
      <c r="A120">
        <v>119</v>
      </c>
      <c r="B120" s="45">
        <v>41672</v>
      </c>
      <c r="C120" s="80" t="s">
        <v>422</v>
      </c>
      <c r="D120" t="s">
        <v>444</v>
      </c>
      <c r="E120" t="s">
        <v>417</v>
      </c>
      <c r="F120" t="s">
        <v>420</v>
      </c>
      <c r="G120" t="s">
        <v>421</v>
      </c>
      <c r="I120">
        <v>30</v>
      </c>
    </row>
    <row r="121" spans="1:9">
      <c r="A121">
        <v>120</v>
      </c>
      <c r="B121" s="45">
        <v>41673</v>
      </c>
      <c r="C121" s="80" t="s">
        <v>423</v>
      </c>
      <c r="D121" t="s">
        <v>444</v>
      </c>
      <c r="E121" t="s">
        <v>417</v>
      </c>
      <c r="F121" t="s">
        <v>420</v>
      </c>
      <c r="G121" t="s">
        <v>421</v>
      </c>
      <c r="I121">
        <v>30</v>
      </c>
    </row>
    <row r="122" spans="1:9">
      <c r="A122">
        <v>121</v>
      </c>
      <c r="B122" s="45">
        <v>41673</v>
      </c>
      <c r="C122" s="80" t="s">
        <v>451</v>
      </c>
      <c r="D122" t="s">
        <v>516</v>
      </c>
      <c r="E122" t="s">
        <v>417</v>
      </c>
      <c r="F122" t="s">
        <v>517</v>
      </c>
      <c r="G122" t="s">
        <v>421</v>
      </c>
      <c r="I122">
        <v>500</v>
      </c>
    </row>
    <row r="123" spans="1:9">
      <c r="A123">
        <v>122</v>
      </c>
      <c r="B123" s="45">
        <v>41673</v>
      </c>
      <c r="C123" s="80" t="s">
        <v>443</v>
      </c>
      <c r="D123" t="s">
        <v>518</v>
      </c>
      <c r="E123" t="s">
        <v>417</v>
      </c>
      <c r="F123" t="s">
        <v>425</v>
      </c>
      <c r="G123" t="s">
        <v>421</v>
      </c>
      <c r="I123">
        <v>600</v>
      </c>
    </row>
    <row r="124" spans="1:9">
      <c r="A124">
        <v>123</v>
      </c>
      <c r="B124" s="45">
        <v>41674</v>
      </c>
      <c r="C124" s="80" t="s">
        <v>445</v>
      </c>
      <c r="D124" t="s">
        <v>444</v>
      </c>
      <c r="E124" t="s">
        <v>417</v>
      </c>
      <c r="F124" t="s">
        <v>420</v>
      </c>
      <c r="G124" t="s">
        <v>421</v>
      </c>
      <c r="I124">
        <v>30</v>
      </c>
    </row>
    <row r="125" spans="1:9">
      <c r="A125">
        <v>124</v>
      </c>
      <c r="B125" s="45">
        <v>41674</v>
      </c>
      <c r="C125" s="80" t="s">
        <v>415</v>
      </c>
      <c r="D125" t="s">
        <v>519</v>
      </c>
      <c r="E125" t="s">
        <v>417</v>
      </c>
      <c r="F125" t="s">
        <v>425</v>
      </c>
      <c r="G125" t="s">
        <v>421</v>
      </c>
      <c r="I125">
        <v>27</v>
      </c>
    </row>
    <row r="126" spans="1:9">
      <c r="A126">
        <v>125</v>
      </c>
      <c r="B126" s="45">
        <v>41674</v>
      </c>
      <c r="C126" s="80" t="s">
        <v>418</v>
      </c>
      <c r="D126" t="s">
        <v>520</v>
      </c>
      <c r="E126" t="s">
        <v>417</v>
      </c>
      <c r="F126" t="s">
        <v>425</v>
      </c>
      <c r="G126" t="s">
        <v>421</v>
      </c>
      <c r="I126">
        <v>15.5</v>
      </c>
    </row>
    <row r="127" spans="1:9">
      <c r="A127">
        <v>126</v>
      </c>
      <c r="B127" s="45">
        <v>41674</v>
      </c>
      <c r="C127" s="80" t="s">
        <v>422</v>
      </c>
      <c r="D127" t="s">
        <v>521</v>
      </c>
      <c r="E127" t="s">
        <v>417</v>
      </c>
      <c r="F127" t="s">
        <v>425</v>
      </c>
      <c r="G127" t="s">
        <v>421</v>
      </c>
      <c r="I127">
        <v>30</v>
      </c>
    </row>
    <row r="128" spans="1:9">
      <c r="A128">
        <v>127</v>
      </c>
      <c r="B128" s="45">
        <v>41674</v>
      </c>
      <c r="C128" s="80" t="s">
        <v>423</v>
      </c>
      <c r="D128" t="s">
        <v>522</v>
      </c>
      <c r="E128" t="s">
        <v>417</v>
      </c>
      <c r="F128" t="s">
        <v>431</v>
      </c>
      <c r="G128" t="s">
        <v>426</v>
      </c>
      <c r="I128">
        <v>77</v>
      </c>
    </row>
    <row r="129" spans="1:9">
      <c r="A129">
        <v>128</v>
      </c>
      <c r="B129" s="45">
        <v>41675</v>
      </c>
      <c r="C129" s="80" t="s">
        <v>427</v>
      </c>
      <c r="D129" t="s">
        <v>523</v>
      </c>
      <c r="E129" t="s">
        <v>417</v>
      </c>
      <c r="F129" t="s">
        <v>425</v>
      </c>
      <c r="G129" t="s">
        <v>426</v>
      </c>
      <c r="I129">
        <v>100</v>
      </c>
    </row>
    <row r="130" spans="1:9">
      <c r="A130">
        <v>129</v>
      </c>
      <c r="B130" s="45">
        <v>41675</v>
      </c>
      <c r="C130" s="80" t="s">
        <v>429</v>
      </c>
      <c r="D130" t="s">
        <v>428</v>
      </c>
      <c r="G130" t="s">
        <v>421</v>
      </c>
      <c r="H130">
        <v>2000</v>
      </c>
    </row>
    <row r="131" spans="1:9">
      <c r="A131">
        <v>130</v>
      </c>
      <c r="B131" s="45">
        <v>41675</v>
      </c>
      <c r="C131" s="80" t="s">
        <v>432</v>
      </c>
      <c r="D131" t="s">
        <v>524</v>
      </c>
      <c r="E131" t="s">
        <v>417</v>
      </c>
      <c r="F131" t="s">
        <v>420</v>
      </c>
      <c r="G131" t="s">
        <v>426</v>
      </c>
      <c r="I131">
        <v>306.44</v>
      </c>
    </row>
    <row r="132" spans="1:9">
      <c r="A132">
        <v>131</v>
      </c>
      <c r="B132" s="45">
        <v>41675</v>
      </c>
      <c r="C132" s="80" t="s">
        <v>434</v>
      </c>
      <c r="D132" t="s">
        <v>525</v>
      </c>
      <c r="E132" t="s">
        <v>417</v>
      </c>
      <c r="F132" t="s">
        <v>425</v>
      </c>
      <c r="G132" t="s">
        <v>426</v>
      </c>
      <c r="I132">
        <v>250</v>
      </c>
    </row>
    <row r="133" spans="1:9">
      <c r="A133">
        <v>132</v>
      </c>
      <c r="B133" s="45">
        <v>41675</v>
      </c>
      <c r="C133" s="80" t="s">
        <v>436</v>
      </c>
      <c r="D133" t="s">
        <v>444</v>
      </c>
      <c r="E133" t="s">
        <v>417</v>
      </c>
      <c r="F133" t="s">
        <v>425</v>
      </c>
      <c r="G133" t="s">
        <v>421</v>
      </c>
      <c r="I133">
        <v>30</v>
      </c>
    </row>
    <row r="134" spans="1:9">
      <c r="A134">
        <v>133</v>
      </c>
      <c r="B134" s="45">
        <v>41676</v>
      </c>
      <c r="C134" s="80" t="s">
        <v>437</v>
      </c>
      <c r="D134" t="s">
        <v>444</v>
      </c>
      <c r="E134" t="s">
        <v>417</v>
      </c>
      <c r="F134" t="s">
        <v>425</v>
      </c>
      <c r="G134" t="s">
        <v>421</v>
      </c>
      <c r="I134">
        <v>30</v>
      </c>
    </row>
    <row r="135" spans="1:9">
      <c r="A135">
        <v>134</v>
      </c>
      <c r="B135" s="45">
        <v>41676</v>
      </c>
      <c r="C135" s="80" t="s">
        <v>438</v>
      </c>
      <c r="D135" t="s">
        <v>526</v>
      </c>
      <c r="E135" t="s">
        <v>417</v>
      </c>
      <c r="F135" t="s">
        <v>431</v>
      </c>
      <c r="G135" t="s">
        <v>421</v>
      </c>
      <c r="I135">
        <v>10</v>
      </c>
    </row>
    <row r="136" spans="1:9">
      <c r="A136">
        <v>135</v>
      </c>
      <c r="B136" s="45">
        <v>41676</v>
      </c>
      <c r="C136" s="80" t="s">
        <v>451</v>
      </c>
      <c r="D136" t="s">
        <v>527</v>
      </c>
      <c r="E136" t="s">
        <v>435</v>
      </c>
      <c r="F136" t="s">
        <v>463</v>
      </c>
      <c r="G136" t="s">
        <v>426</v>
      </c>
      <c r="I136">
        <v>170</v>
      </c>
    </row>
    <row r="137" spans="1:9">
      <c r="A137">
        <v>136</v>
      </c>
      <c r="B137" s="45">
        <v>41677</v>
      </c>
      <c r="C137" s="80" t="s">
        <v>451</v>
      </c>
      <c r="D137" t="s">
        <v>528</v>
      </c>
      <c r="E137" t="s">
        <v>417</v>
      </c>
      <c r="F137" t="s">
        <v>425</v>
      </c>
      <c r="G137" t="s">
        <v>421</v>
      </c>
      <c r="I137">
        <v>575</v>
      </c>
    </row>
    <row r="138" spans="1:9">
      <c r="A138">
        <v>137</v>
      </c>
      <c r="B138" s="45">
        <v>41677</v>
      </c>
      <c r="C138" s="80" t="s">
        <v>443</v>
      </c>
      <c r="D138" t="s">
        <v>444</v>
      </c>
      <c r="E138" t="s">
        <v>417</v>
      </c>
      <c r="F138" t="s">
        <v>425</v>
      </c>
      <c r="G138" t="s">
        <v>421</v>
      </c>
      <c r="I138">
        <v>30</v>
      </c>
    </row>
    <row r="139" spans="1:9">
      <c r="A139">
        <v>138</v>
      </c>
      <c r="B139" s="45">
        <v>41677</v>
      </c>
      <c r="C139" s="80" t="s">
        <v>445</v>
      </c>
      <c r="D139" t="s">
        <v>529</v>
      </c>
      <c r="E139" t="s">
        <v>417</v>
      </c>
      <c r="F139" t="s">
        <v>530</v>
      </c>
      <c r="G139" t="s">
        <v>421</v>
      </c>
      <c r="I139">
        <v>8.65</v>
      </c>
    </row>
    <row r="140" spans="1:9">
      <c r="A140">
        <v>139</v>
      </c>
      <c r="B140" s="45">
        <v>41677</v>
      </c>
      <c r="C140" s="80" t="s">
        <v>415</v>
      </c>
      <c r="D140" t="s">
        <v>531</v>
      </c>
      <c r="E140" t="s">
        <v>417</v>
      </c>
      <c r="F140" t="s">
        <v>425</v>
      </c>
      <c r="G140" t="s">
        <v>421</v>
      </c>
      <c r="I140">
        <v>6</v>
      </c>
    </row>
    <row r="141" spans="1:9">
      <c r="A141">
        <v>140</v>
      </c>
      <c r="B141" s="45">
        <v>41677</v>
      </c>
      <c r="C141" s="80" t="s">
        <v>418</v>
      </c>
      <c r="D141" t="s">
        <v>532</v>
      </c>
      <c r="E141" t="s">
        <v>417</v>
      </c>
      <c r="F141" t="s">
        <v>425</v>
      </c>
      <c r="G141" t="s">
        <v>426</v>
      </c>
      <c r="I141">
        <v>435</v>
      </c>
    </row>
    <row r="142" spans="1:9">
      <c r="A142">
        <v>141</v>
      </c>
      <c r="B142" s="45">
        <v>41677</v>
      </c>
      <c r="C142" s="80" t="s">
        <v>422</v>
      </c>
      <c r="D142" t="s">
        <v>533</v>
      </c>
      <c r="E142" t="s">
        <v>417</v>
      </c>
      <c r="F142" t="s">
        <v>431</v>
      </c>
      <c r="G142" t="s">
        <v>426</v>
      </c>
      <c r="I142">
        <v>220</v>
      </c>
    </row>
    <row r="143" spans="1:9">
      <c r="A143">
        <v>142</v>
      </c>
      <c r="B143" s="45">
        <v>41677</v>
      </c>
      <c r="C143" s="80" t="s">
        <v>423</v>
      </c>
      <c r="D143" t="s">
        <v>446</v>
      </c>
      <c r="E143" t="s">
        <v>417</v>
      </c>
      <c r="F143" t="s">
        <v>420</v>
      </c>
      <c r="G143" t="s">
        <v>426</v>
      </c>
      <c r="I143">
        <v>644</v>
      </c>
    </row>
    <row r="144" spans="1:9">
      <c r="A144">
        <v>143</v>
      </c>
      <c r="B144" s="45">
        <v>41677</v>
      </c>
      <c r="C144" s="80" t="s">
        <v>427</v>
      </c>
      <c r="D144" t="s">
        <v>534</v>
      </c>
      <c r="E144" t="s">
        <v>417</v>
      </c>
      <c r="F144" t="s">
        <v>535</v>
      </c>
      <c r="G144" t="s">
        <v>426</v>
      </c>
      <c r="I144">
        <v>30</v>
      </c>
    </row>
    <row r="145" spans="1:9">
      <c r="A145">
        <v>144</v>
      </c>
      <c r="B145" s="45">
        <v>41678</v>
      </c>
      <c r="C145" s="80" t="s">
        <v>429</v>
      </c>
      <c r="D145" t="s">
        <v>536</v>
      </c>
      <c r="E145" t="s">
        <v>435</v>
      </c>
      <c r="F145" t="s">
        <v>450</v>
      </c>
      <c r="G145" t="s">
        <v>426</v>
      </c>
      <c r="I145">
        <v>445</v>
      </c>
    </row>
    <row r="146" spans="1:9">
      <c r="A146">
        <v>145</v>
      </c>
      <c r="B146" s="45">
        <v>41678</v>
      </c>
      <c r="C146" s="80" t="s">
        <v>451</v>
      </c>
      <c r="D146" t="s">
        <v>537</v>
      </c>
      <c r="E146" t="s">
        <v>435</v>
      </c>
      <c r="F146" t="s">
        <v>456</v>
      </c>
      <c r="G146" t="s">
        <v>426</v>
      </c>
      <c r="I146">
        <v>200</v>
      </c>
    </row>
    <row r="147" spans="1:9">
      <c r="A147">
        <v>146</v>
      </c>
      <c r="B147" s="45">
        <v>41678</v>
      </c>
      <c r="C147" s="80" t="s">
        <v>451</v>
      </c>
      <c r="D147" t="s">
        <v>444</v>
      </c>
      <c r="E147" t="s">
        <v>417</v>
      </c>
      <c r="F147" t="s">
        <v>420</v>
      </c>
      <c r="G147" t="s">
        <v>421</v>
      </c>
      <c r="I147">
        <v>30</v>
      </c>
    </row>
    <row r="148" spans="1:9">
      <c r="A148">
        <v>147</v>
      </c>
      <c r="B148" s="45">
        <v>41678</v>
      </c>
      <c r="C148" s="80" t="s">
        <v>443</v>
      </c>
      <c r="D148" t="s">
        <v>442</v>
      </c>
      <c r="E148" t="s">
        <v>417</v>
      </c>
      <c r="F148" t="s">
        <v>420</v>
      </c>
      <c r="G148" t="s">
        <v>421</v>
      </c>
      <c r="I148">
        <v>380</v>
      </c>
    </row>
    <row r="149" spans="1:9">
      <c r="A149">
        <v>148</v>
      </c>
      <c r="B149" s="45">
        <v>41678</v>
      </c>
      <c r="C149" s="80" t="s">
        <v>445</v>
      </c>
      <c r="D149" t="s">
        <v>458</v>
      </c>
      <c r="E149" t="s">
        <v>459</v>
      </c>
      <c r="F149" t="s">
        <v>538</v>
      </c>
      <c r="G149" t="s">
        <v>421</v>
      </c>
      <c r="I149">
        <v>100</v>
      </c>
    </row>
    <row r="150" spans="1:9">
      <c r="A150">
        <v>149</v>
      </c>
      <c r="B150" s="45">
        <v>41678</v>
      </c>
      <c r="C150" s="80" t="s">
        <v>415</v>
      </c>
      <c r="D150" t="s">
        <v>428</v>
      </c>
      <c r="G150" t="s">
        <v>421</v>
      </c>
      <c r="H150">
        <v>1000</v>
      </c>
    </row>
    <row r="151" spans="1:9">
      <c r="A151">
        <v>150</v>
      </c>
      <c r="B151" s="45">
        <v>41679</v>
      </c>
      <c r="C151" s="80" t="s">
        <v>418</v>
      </c>
      <c r="D151" t="s">
        <v>444</v>
      </c>
      <c r="E151" t="s">
        <v>417</v>
      </c>
      <c r="F151" t="s">
        <v>420</v>
      </c>
      <c r="G151" t="s">
        <v>421</v>
      </c>
      <c r="I151">
        <v>30</v>
      </c>
    </row>
    <row r="152" spans="1:9">
      <c r="A152">
        <v>151</v>
      </c>
      <c r="B152" s="45">
        <v>41680</v>
      </c>
      <c r="C152" s="80" t="s">
        <v>422</v>
      </c>
      <c r="D152" t="s">
        <v>444</v>
      </c>
      <c r="E152" t="s">
        <v>417</v>
      </c>
      <c r="F152" t="s">
        <v>420</v>
      </c>
      <c r="G152" t="s">
        <v>421</v>
      </c>
      <c r="I152">
        <v>30</v>
      </c>
    </row>
    <row r="153" spans="1:9">
      <c r="A153">
        <v>152</v>
      </c>
      <c r="B153" s="45">
        <v>41680</v>
      </c>
      <c r="C153" s="80" t="s">
        <v>423</v>
      </c>
      <c r="D153" t="s">
        <v>539</v>
      </c>
      <c r="E153" t="s">
        <v>417</v>
      </c>
      <c r="F153" t="s">
        <v>425</v>
      </c>
      <c r="G153" t="s">
        <v>421</v>
      </c>
      <c r="I153">
        <v>200</v>
      </c>
    </row>
    <row r="154" spans="1:9">
      <c r="A154">
        <v>153</v>
      </c>
      <c r="B154" s="45">
        <v>41680</v>
      </c>
      <c r="C154" s="80" t="s">
        <v>427</v>
      </c>
      <c r="D154" t="s">
        <v>540</v>
      </c>
      <c r="E154" t="s">
        <v>417</v>
      </c>
      <c r="F154" t="s">
        <v>471</v>
      </c>
      <c r="G154" t="s">
        <v>421</v>
      </c>
      <c r="I154">
        <v>6</v>
      </c>
    </row>
    <row r="155" spans="1:9">
      <c r="A155">
        <v>154</v>
      </c>
      <c r="B155" s="45">
        <v>41681</v>
      </c>
      <c r="C155" s="80" t="s">
        <v>429</v>
      </c>
      <c r="D155" t="s">
        <v>444</v>
      </c>
      <c r="E155" t="s">
        <v>417</v>
      </c>
      <c r="F155" t="s">
        <v>420</v>
      </c>
      <c r="G155" t="s">
        <v>421</v>
      </c>
      <c r="I155">
        <v>30</v>
      </c>
    </row>
    <row r="156" spans="1:9">
      <c r="A156">
        <v>155</v>
      </c>
      <c r="B156" s="45">
        <v>41682</v>
      </c>
      <c r="C156" s="80" t="s">
        <v>432</v>
      </c>
      <c r="D156" t="s">
        <v>444</v>
      </c>
      <c r="E156" t="s">
        <v>417</v>
      </c>
      <c r="F156" t="s">
        <v>420</v>
      </c>
      <c r="G156" t="s">
        <v>421</v>
      </c>
      <c r="I156">
        <v>30</v>
      </c>
    </row>
    <row r="157" spans="1:9">
      <c r="A157">
        <v>156</v>
      </c>
      <c r="B157" s="45">
        <v>41682</v>
      </c>
      <c r="C157" s="80" t="s">
        <v>434</v>
      </c>
      <c r="D157" t="s">
        <v>541</v>
      </c>
      <c r="E157" t="s">
        <v>459</v>
      </c>
      <c r="F157" t="s">
        <v>542</v>
      </c>
      <c r="G157" t="s">
        <v>421</v>
      </c>
      <c r="I157">
        <v>92.5</v>
      </c>
    </row>
    <row r="158" spans="1:9">
      <c r="A158">
        <v>157</v>
      </c>
      <c r="B158" s="45">
        <v>41682</v>
      </c>
      <c r="C158" s="80" t="s">
        <v>436</v>
      </c>
      <c r="D158" t="s">
        <v>543</v>
      </c>
      <c r="E158" t="s">
        <v>417</v>
      </c>
      <c r="F158" t="s">
        <v>425</v>
      </c>
      <c r="G158" t="s">
        <v>421</v>
      </c>
      <c r="I158">
        <v>50</v>
      </c>
    </row>
    <row r="159" spans="1:9">
      <c r="A159">
        <v>158</v>
      </c>
      <c r="B159" s="45">
        <v>41682</v>
      </c>
      <c r="C159" s="80" t="s">
        <v>437</v>
      </c>
      <c r="D159" t="s">
        <v>531</v>
      </c>
      <c r="E159" t="s">
        <v>417</v>
      </c>
      <c r="F159" t="s">
        <v>425</v>
      </c>
      <c r="G159" t="s">
        <v>421</v>
      </c>
      <c r="I159">
        <v>9</v>
      </c>
    </row>
    <row r="160" spans="1:9">
      <c r="A160">
        <v>159</v>
      </c>
      <c r="B160" s="45">
        <v>41682</v>
      </c>
      <c r="C160" s="80" t="s">
        <v>438</v>
      </c>
      <c r="D160" t="s">
        <v>488</v>
      </c>
      <c r="E160" t="s">
        <v>417</v>
      </c>
      <c r="F160" t="s">
        <v>420</v>
      </c>
      <c r="G160" t="s">
        <v>426</v>
      </c>
      <c r="I160">
        <v>597.29</v>
      </c>
    </row>
    <row r="161" spans="1:9">
      <c r="A161">
        <v>160</v>
      </c>
      <c r="B161" s="45">
        <v>41682</v>
      </c>
      <c r="C161" s="80" t="s">
        <v>439</v>
      </c>
      <c r="D161" t="s">
        <v>544</v>
      </c>
      <c r="E161" t="s">
        <v>417</v>
      </c>
      <c r="F161" t="s">
        <v>425</v>
      </c>
      <c r="G161" t="s">
        <v>426</v>
      </c>
      <c r="I161">
        <v>317.61</v>
      </c>
    </row>
    <row r="162" spans="1:9">
      <c r="A162">
        <v>161</v>
      </c>
      <c r="B162" s="45">
        <v>41682</v>
      </c>
      <c r="C162" s="80" t="s">
        <v>451</v>
      </c>
      <c r="D162" t="s">
        <v>545</v>
      </c>
      <c r="E162" t="s">
        <v>435</v>
      </c>
      <c r="F162" t="s">
        <v>463</v>
      </c>
      <c r="G162" t="s">
        <v>546</v>
      </c>
      <c r="I162">
        <v>926.3</v>
      </c>
    </row>
    <row r="163" spans="1:9">
      <c r="A163">
        <v>162</v>
      </c>
      <c r="B163" s="45">
        <v>41682</v>
      </c>
      <c r="C163" s="80" t="s">
        <v>443</v>
      </c>
      <c r="D163" t="s">
        <v>461</v>
      </c>
      <c r="E163" t="s">
        <v>417</v>
      </c>
      <c r="F163" t="s">
        <v>420</v>
      </c>
      <c r="G163" t="s">
        <v>426</v>
      </c>
      <c r="I163">
        <v>241.92</v>
      </c>
    </row>
    <row r="164" spans="1:9">
      <c r="A164">
        <v>163</v>
      </c>
      <c r="B164" s="45">
        <v>41682</v>
      </c>
      <c r="C164" s="80" t="s">
        <v>445</v>
      </c>
      <c r="D164" t="s">
        <v>461</v>
      </c>
      <c r="E164" t="s">
        <v>417</v>
      </c>
      <c r="F164" t="s">
        <v>420</v>
      </c>
      <c r="G164" t="s">
        <v>426</v>
      </c>
      <c r="I164">
        <v>255.28</v>
      </c>
    </row>
    <row r="165" spans="1:9">
      <c r="A165">
        <v>164</v>
      </c>
      <c r="B165" s="45">
        <v>41682</v>
      </c>
      <c r="C165" s="80" t="s">
        <v>415</v>
      </c>
      <c r="D165" t="s">
        <v>547</v>
      </c>
      <c r="E165" t="s">
        <v>435</v>
      </c>
      <c r="F165" t="s">
        <v>450</v>
      </c>
      <c r="G165" t="s">
        <v>421</v>
      </c>
      <c r="I165">
        <v>30</v>
      </c>
    </row>
    <row r="166" spans="1:9">
      <c r="A166">
        <v>165</v>
      </c>
      <c r="B166" s="45">
        <v>41682</v>
      </c>
      <c r="C166" s="80" t="s">
        <v>418</v>
      </c>
      <c r="D166" t="s">
        <v>548</v>
      </c>
      <c r="E166" t="s">
        <v>435</v>
      </c>
      <c r="F166" t="s">
        <v>465</v>
      </c>
      <c r="G166" t="s">
        <v>546</v>
      </c>
      <c r="I166">
        <v>1</v>
      </c>
    </row>
    <row r="167" spans="1:9">
      <c r="A167">
        <v>166</v>
      </c>
      <c r="B167" s="45">
        <v>41682</v>
      </c>
      <c r="C167" s="80" t="s">
        <v>422</v>
      </c>
      <c r="D167" t="s">
        <v>549</v>
      </c>
      <c r="E167" t="s">
        <v>435</v>
      </c>
      <c r="F167" t="s">
        <v>550</v>
      </c>
      <c r="G167" t="s">
        <v>546</v>
      </c>
      <c r="I167">
        <v>130</v>
      </c>
    </row>
    <row r="168" spans="1:9">
      <c r="A168">
        <v>167</v>
      </c>
      <c r="B168" s="45">
        <v>41682</v>
      </c>
      <c r="C168" s="80" t="s">
        <v>451</v>
      </c>
      <c r="D168" t="s">
        <v>551</v>
      </c>
      <c r="E168" t="s">
        <v>435</v>
      </c>
      <c r="F168" t="s">
        <v>465</v>
      </c>
      <c r="G168" t="s">
        <v>546</v>
      </c>
      <c r="I168">
        <v>125</v>
      </c>
    </row>
    <row r="169" spans="1:9">
      <c r="A169">
        <v>168</v>
      </c>
      <c r="B169" s="45">
        <v>41682</v>
      </c>
      <c r="C169" s="80" t="s">
        <v>443</v>
      </c>
      <c r="D169" t="s">
        <v>552</v>
      </c>
      <c r="E169" t="s">
        <v>435</v>
      </c>
      <c r="F169" t="s">
        <v>553</v>
      </c>
      <c r="G169" t="s">
        <v>546</v>
      </c>
      <c r="I169">
        <v>1</v>
      </c>
    </row>
    <row r="170" spans="1:9">
      <c r="A170">
        <v>169</v>
      </c>
      <c r="B170" s="45">
        <v>41682</v>
      </c>
      <c r="C170" s="80" t="s">
        <v>445</v>
      </c>
      <c r="D170" t="s">
        <v>554</v>
      </c>
      <c r="E170" t="s">
        <v>435</v>
      </c>
      <c r="F170" t="s">
        <v>480</v>
      </c>
      <c r="G170" t="s">
        <v>546</v>
      </c>
      <c r="I170">
        <v>4720</v>
      </c>
    </row>
    <row r="171" spans="1:9">
      <c r="A171">
        <v>170</v>
      </c>
      <c r="B171" s="45">
        <v>41683</v>
      </c>
      <c r="C171" s="80" t="s">
        <v>415</v>
      </c>
      <c r="D171" t="s">
        <v>555</v>
      </c>
      <c r="E171" t="s">
        <v>417</v>
      </c>
      <c r="F171" t="s">
        <v>425</v>
      </c>
      <c r="G171" t="s">
        <v>421</v>
      </c>
      <c r="I171">
        <v>3</v>
      </c>
    </row>
    <row r="172" spans="1:9">
      <c r="A172">
        <v>171</v>
      </c>
      <c r="B172" s="45">
        <v>41683</v>
      </c>
      <c r="C172" s="80" t="s">
        <v>418</v>
      </c>
      <c r="D172" t="s">
        <v>444</v>
      </c>
      <c r="E172" t="s">
        <v>417</v>
      </c>
      <c r="F172" t="s">
        <v>420</v>
      </c>
      <c r="G172" t="s">
        <v>421</v>
      </c>
      <c r="I172">
        <v>20</v>
      </c>
    </row>
    <row r="173" spans="1:9">
      <c r="A173">
        <v>172</v>
      </c>
      <c r="B173" s="45">
        <v>41684</v>
      </c>
      <c r="C173" s="80" t="s">
        <v>422</v>
      </c>
      <c r="D173" t="s">
        <v>556</v>
      </c>
      <c r="E173" t="s">
        <v>435</v>
      </c>
      <c r="F173" t="s">
        <v>463</v>
      </c>
      <c r="G173" t="s">
        <v>421</v>
      </c>
      <c r="I173">
        <v>5</v>
      </c>
    </row>
    <row r="174" spans="1:9">
      <c r="A174">
        <v>173</v>
      </c>
      <c r="B174" s="45">
        <v>41684</v>
      </c>
      <c r="C174" s="80" t="s">
        <v>451</v>
      </c>
      <c r="D174" t="s">
        <v>444</v>
      </c>
      <c r="E174" t="s">
        <v>417</v>
      </c>
      <c r="F174" t="s">
        <v>420</v>
      </c>
      <c r="G174" t="s">
        <v>421</v>
      </c>
      <c r="I174">
        <v>15</v>
      </c>
    </row>
    <row r="175" spans="1:9">
      <c r="A175">
        <v>174</v>
      </c>
      <c r="B175" s="45">
        <v>41685</v>
      </c>
      <c r="C175" s="80" t="s">
        <v>443</v>
      </c>
      <c r="D175" t="s">
        <v>557</v>
      </c>
      <c r="E175" t="s">
        <v>417</v>
      </c>
      <c r="F175" t="s">
        <v>420</v>
      </c>
      <c r="G175" t="s">
        <v>421</v>
      </c>
      <c r="I175">
        <v>22.5</v>
      </c>
    </row>
    <row r="176" spans="1:9">
      <c r="A176">
        <v>175</v>
      </c>
      <c r="B176" s="45">
        <v>41685</v>
      </c>
      <c r="C176" s="80" t="s">
        <v>445</v>
      </c>
      <c r="D176" t="s">
        <v>442</v>
      </c>
      <c r="E176" t="s">
        <v>417</v>
      </c>
      <c r="F176" t="s">
        <v>420</v>
      </c>
      <c r="G176" t="s">
        <v>421</v>
      </c>
      <c r="I176">
        <v>273</v>
      </c>
    </row>
    <row r="177" spans="1:9">
      <c r="A177">
        <v>176</v>
      </c>
      <c r="B177" s="45">
        <v>41685</v>
      </c>
      <c r="C177" s="80" t="s">
        <v>415</v>
      </c>
      <c r="D177" t="s">
        <v>558</v>
      </c>
      <c r="E177" t="s">
        <v>417</v>
      </c>
      <c r="F177" t="s">
        <v>559</v>
      </c>
      <c r="G177" t="s">
        <v>421</v>
      </c>
      <c r="I177">
        <v>35</v>
      </c>
    </row>
    <row r="178" spans="1:9">
      <c r="A178">
        <v>177</v>
      </c>
      <c r="B178" s="45">
        <v>41686</v>
      </c>
      <c r="C178" s="80" t="s">
        <v>418</v>
      </c>
      <c r="D178" t="s">
        <v>444</v>
      </c>
      <c r="E178" t="s">
        <v>417</v>
      </c>
      <c r="F178" t="s">
        <v>420</v>
      </c>
      <c r="G178" t="s">
        <v>421</v>
      </c>
      <c r="I178">
        <v>15</v>
      </c>
    </row>
    <row r="179" spans="1:9">
      <c r="A179">
        <v>178</v>
      </c>
      <c r="B179" s="45">
        <v>41686</v>
      </c>
      <c r="C179" s="80" t="s">
        <v>422</v>
      </c>
      <c r="D179" t="s">
        <v>560</v>
      </c>
      <c r="E179" t="s">
        <v>417</v>
      </c>
      <c r="F179" t="s">
        <v>420</v>
      </c>
      <c r="G179" t="s">
        <v>421</v>
      </c>
      <c r="I179">
        <v>6.5</v>
      </c>
    </row>
    <row r="180" spans="1:9">
      <c r="A180">
        <v>179</v>
      </c>
      <c r="B180" s="45">
        <v>41687</v>
      </c>
      <c r="C180" s="80" t="s">
        <v>423</v>
      </c>
      <c r="D180" t="s">
        <v>444</v>
      </c>
      <c r="E180" t="s">
        <v>417</v>
      </c>
      <c r="F180" t="s">
        <v>420</v>
      </c>
      <c r="G180" t="s">
        <v>421</v>
      </c>
      <c r="I180">
        <v>15</v>
      </c>
    </row>
    <row r="181" spans="1:9">
      <c r="A181">
        <v>180</v>
      </c>
      <c r="B181" s="45">
        <v>41687</v>
      </c>
      <c r="C181" s="80" t="s">
        <v>427</v>
      </c>
      <c r="D181" t="s">
        <v>561</v>
      </c>
      <c r="E181" t="s">
        <v>417</v>
      </c>
      <c r="F181" t="s">
        <v>559</v>
      </c>
      <c r="G181" t="s">
        <v>421</v>
      </c>
      <c r="I181">
        <v>64.400000000000006</v>
      </c>
    </row>
    <row r="182" spans="1:9">
      <c r="A182">
        <v>181</v>
      </c>
      <c r="B182" s="45">
        <v>41687</v>
      </c>
      <c r="C182" s="80" t="s">
        <v>429</v>
      </c>
      <c r="D182" t="s">
        <v>562</v>
      </c>
      <c r="E182" t="s">
        <v>435</v>
      </c>
      <c r="F182" t="s">
        <v>450</v>
      </c>
      <c r="G182" t="s">
        <v>426</v>
      </c>
      <c r="I182">
        <v>55.01</v>
      </c>
    </row>
    <row r="183" spans="1:9">
      <c r="A183">
        <v>182</v>
      </c>
      <c r="B183" s="45">
        <v>41687</v>
      </c>
      <c r="C183" s="80" t="s">
        <v>432</v>
      </c>
      <c r="D183" t="s">
        <v>563</v>
      </c>
      <c r="E183" t="s">
        <v>435</v>
      </c>
      <c r="F183" t="s">
        <v>450</v>
      </c>
      <c r="G183" t="s">
        <v>426</v>
      </c>
      <c r="I183">
        <v>11</v>
      </c>
    </row>
    <row r="184" spans="1:9">
      <c r="A184">
        <v>183</v>
      </c>
      <c r="B184" s="45">
        <v>41687</v>
      </c>
      <c r="C184" s="80" t="s">
        <v>434</v>
      </c>
      <c r="D184" t="s">
        <v>564</v>
      </c>
      <c r="E184" t="s">
        <v>435</v>
      </c>
      <c r="F184" t="s">
        <v>450</v>
      </c>
      <c r="G184" t="s">
        <v>426</v>
      </c>
      <c r="I184">
        <v>50</v>
      </c>
    </row>
    <row r="185" spans="1:9">
      <c r="A185">
        <v>184</v>
      </c>
      <c r="B185" s="45">
        <v>41687</v>
      </c>
      <c r="C185" s="80" t="s">
        <v>436</v>
      </c>
      <c r="D185" t="s">
        <v>549</v>
      </c>
      <c r="E185" t="s">
        <v>435</v>
      </c>
      <c r="F185" t="s">
        <v>550</v>
      </c>
      <c r="G185" t="s">
        <v>546</v>
      </c>
      <c r="I185">
        <v>130</v>
      </c>
    </row>
    <row r="186" spans="1:9">
      <c r="A186">
        <v>185</v>
      </c>
      <c r="B186" s="45">
        <v>41687</v>
      </c>
      <c r="C186" s="80" t="s">
        <v>437</v>
      </c>
      <c r="D186" t="s">
        <v>565</v>
      </c>
      <c r="E186" t="s">
        <v>435</v>
      </c>
      <c r="F186" t="s">
        <v>550</v>
      </c>
      <c r="G186" t="s">
        <v>546</v>
      </c>
      <c r="I186">
        <v>195</v>
      </c>
    </row>
    <row r="187" spans="1:9">
      <c r="A187">
        <v>186</v>
      </c>
      <c r="B187" s="45">
        <v>41687</v>
      </c>
      <c r="C187" s="80" t="s">
        <v>438</v>
      </c>
      <c r="D187" t="s">
        <v>566</v>
      </c>
      <c r="E187" t="s">
        <v>435</v>
      </c>
      <c r="F187" t="s">
        <v>550</v>
      </c>
      <c r="G187" t="s">
        <v>426</v>
      </c>
      <c r="I187">
        <v>70</v>
      </c>
    </row>
    <row r="188" spans="1:9">
      <c r="A188">
        <v>187</v>
      </c>
      <c r="B188" s="45">
        <v>41687</v>
      </c>
      <c r="C188" s="80" t="s">
        <v>439</v>
      </c>
      <c r="D188" t="s">
        <v>567</v>
      </c>
      <c r="E188" t="s">
        <v>435</v>
      </c>
      <c r="F188" t="s">
        <v>553</v>
      </c>
      <c r="G188" t="s">
        <v>426</v>
      </c>
      <c r="I188">
        <v>80</v>
      </c>
    </row>
    <row r="189" spans="1:9">
      <c r="A189">
        <v>188</v>
      </c>
      <c r="B189" s="45">
        <v>41687</v>
      </c>
      <c r="C189" s="80" t="s">
        <v>451</v>
      </c>
      <c r="D189" t="s">
        <v>568</v>
      </c>
      <c r="E189" t="s">
        <v>435</v>
      </c>
      <c r="F189" t="s">
        <v>450</v>
      </c>
      <c r="G189" t="s">
        <v>426</v>
      </c>
      <c r="I189">
        <v>40</v>
      </c>
    </row>
    <row r="190" spans="1:9">
      <c r="A190">
        <v>189</v>
      </c>
      <c r="B190" s="45">
        <v>41687</v>
      </c>
      <c r="C190" s="80" t="s">
        <v>443</v>
      </c>
      <c r="D190" t="s">
        <v>531</v>
      </c>
      <c r="E190" t="s">
        <v>417</v>
      </c>
      <c r="F190" t="s">
        <v>420</v>
      </c>
      <c r="G190" t="s">
        <v>421</v>
      </c>
      <c r="I190">
        <v>6</v>
      </c>
    </row>
    <row r="191" spans="1:9">
      <c r="A191">
        <v>190</v>
      </c>
      <c r="B191" s="45">
        <v>41688</v>
      </c>
      <c r="C191" s="80" t="s">
        <v>445</v>
      </c>
      <c r="D191" t="s">
        <v>444</v>
      </c>
      <c r="E191" t="s">
        <v>417</v>
      </c>
      <c r="F191" t="s">
        <v>420</v>
      </c>
      <c r="G191" t="s">
        <v>421</v>
      </c>
      <c r="I191">
        <v>15</v>
      </c>
    </row>
    <row r="192" spans="1:9">
      <c r="A192">
        <v>191</v>
      </c>
      <c r="B192" s="45">
        <v>41688</v>
      </c>
      <c r="C192" s="80" t="s">
        <v>415</v>
      </c>
      <c r="D192" t="s">
        <v>440</v>
      </c>
      <c r="E192" t="s">
        <v>417</v>
      </c>
      <c r="F192" t="s">
        <v>420</v>
      </c>
      <c r="G192" t="s">
        <v>426</v>
      </c>
      <c r="I192">
        <v>234.76</v>
      </c>
    </row>
    <row r="193" spans="1:9">
      <c r="A193">
        <v>192</v>
      </c>
      <c r="B193" s="45">
        <v>41688</v>
      </c>
      <c r="C193" s="80" t="s">
        <v>418</v>
      </c>
      <c r="D193" t="s">
        <v>561</v>
      </c>
      <c r="E193" t="s">
        <v>435</v>
      </c>
      <c r="F193" t="s">
        <v>463</v>
      </c>
      <c r="G193" t="s">
        <v>546</v>
      </c>
      <c r="I193">
        <v>1</v>
      </c>
    </row>
    <row r="194" spans="1:9">
      <c r="A194">
        <v>193</v>
      </c>
      <c r="B194" s="45">
        <v>41688</v>
      </c>
      <c r="C194" s="80" t="s">
        <v>422</v>
      </c>
      <c r="D194" t="s">
        <v>569</v>
      </c>
      <c r="E194" t="s">
        <v>435</v>
      </c>
      <c r="F194" t="s">
        <v>463</v>
      </c>
      <c r="G194" t="s">
        <v>546</v>
      </c>
      <c r="I194">
        <v>1</v>
      </c>
    </row>
    <row r="195" spans="1:9">
      <c r="A195">
        <v>194</v>
      </c>
      <c r="B195" s="45">
        <v>41688</v>
      </c>
      <c r="C195" s="80" t="s">
        <v>423</v>
      </c>
      <c r="D195" t="s">
        <v>570</v>
      </c>
      <c r="E195" t="s">
        <v>435</v>
      </c>
      <c r="F195" t="s">
        <v>463</v>
      </c>
      <c r="G195" t="s">
        <v>546</v>
      </c>
      <c r="I195">
        <v>1</v>
      </c>
    </row>
    <row r="196" spans="1:9">
      <c r="A196">
        <v>195</v>
      </c>
      <c r="B196" s="45">
        <v>41688</v>
      </c>
      <c r="C196" s="80" t="s">
        <v>427</v>
      </c>
      <c r="D196" t="s">
        <v>571</v>
      </c>
      <c r="E196" t="s">
        <v>435</v>
      </c>
      <c r="F196" t="s">
        <v>553</v>
      </c>
      <c r="G196" t="s">
        <v>546</v>
      </c>
      <c r="I196">
        <v>1</v>
      </c>
    </row>
    <row r="197" spans="1:9">
      <c r="A197">
        <v>196</v>
      </c>
      <c r="B197" s="45">
        <v>41688</v>
      </c>
      <c r="C197" s="80" t="s">
        <v>429</v>
      </c>
      <c r="D197" t="s">
        <v>572</v>
      </c>
      <c r="E197" t="s">
        <v>435</v>
      </c>
      <c r="F197" t="s">
        <v>463</v>
      </c>
      <c r="G197" t="s">
        <v>546</v>
      </c>
      <c r="I197">
        <v>1</v>
      </c>
    </row>
    <row r="198" spans="1:9">
      <c r="A198">
        <v>197</v>
      </c>
      <c r="B198" s="45">
        <v>41688</v>
      </c>
      <c r="C198" s="80" t="s">
        <v>432</v>
      </c>
      <c r="D198" t="s">
        <v>573</v>
      </c>
      <c r="E198" t="s">
        <v>435</v>
      </c>
      <c r="F198" t="s">
        <v>463</v>
      </c>
      <c r="G198" t="s">
        <v>546</v>
      </c>
      <c r="I198">
        <v>32</v>
      </c>
    </row>
    <row r="199" spans="1:9">
      <c r="A199">
        <v>198</v>
      </c>
      <c r="B199" s="45">
        <v>41688</v>
      </c>
      <c r="C199" s="80" t="s">
        <v>434</v>
      </c>
      <c r="D199" t="s">
        <v>574</v>
      </c>
      <c r="E199" t="s">
        <v>435</v>
      </c>
      <c r="F199" t="s">
        <v>463</v>
      </c>
      <c r="G199" t="s">
        <v>546</v>
      </c>
      <c r="I199">
        <v>100</v>
      </c>
    </row>
    <row r="200" spans="1:9">
      <c r="A200">
        <v>199</v>
      </c>
      <c r="B200" s="45">
        <v>41688</v>
      </c>
      <c r="C200" s="80" t="s">
        <v>436</v>
      </c>
      <c r="D200" t="s">
        <v>575</v>
      </c>
      <c r="E200" t="s">
        <v>435</v>
      </c>
      <c r="F200" t="s">
        <v>576</v>
      </c>
      <c r="G200" t="s">
        <v>546</v>
      </c>
      <c r="I200">
        <v>1</v>
      </c>
    </row>
    <row r="201" spans="1:9">
      <c r="A201">
        <v>200</v>
      </c>
      <c r="B201" s="45">
        <v>41688</v>
      </c>
      <c r="C201" s="80" t="s">
        <v>437</v>
      </c>
      <c r="D201" t="s">
        <v>577</v>
      </c>
      <c r="E201" t="s">
        <v>435</v>
      </c>
      <c r="F201" t="s">
        <v>578</v>
      </c>
      <c r="G201" t="s">
        <v>546</v>
      </c>
      <c r="I201">
        <v>150</v>
      </c>
    </row>
    <row r="202" spans="1:9">
      <c r="A202">
        <v>201</v>
      </c>
      <c r="B202" s="45">
        <v>41688</v>
      </c>
      <c r="C202" s="80" t="s">
        <v>438</v>
      </c>
      <c r="D202" t="s">
        <v>579</v>
      </c>
      <c r="E202" t="s">
        <v>435</v>
      </c>
      <c r="F202" t="s">
        <v>553</v>
      </c>
      <c r="G202" t="s">
        <v>546</v>
      </c>
      <c r="I202">
        <v>125</v>
      </c>
    </row>
    <row r="203" spans="1:9">
      <c r="A203">
        <v>202</v>
      </c>
      <c r="B203" s="45">
        <v>41688</v>
      </c>
      <c r="C203" s="80" t="s">
        <v>439</v>
      </c>
      <c r="D203" t="s">
        <v>580</v>
      </c>
      <c r="E203" t="s">
        <v>435</v>
      </c>
      <c r="F203" t="s">
        <v>550</v>
      </c>
      <c r="G203" t="s">
        <v>421</v>
      </c>
      <c r="I203">
        <v>5</v>
      </c>
    </row>
    <row r="204" spans="1:9">
      <c r="A204">
        <v>203</v>
      </c>
      <c r="B204" s="45">
        <v>41688</v>
      </c>
      <c r="C204" s="80" t="s">
        <v>451</v>
      </c>
      <c r="D204" t="s">
        <v>461</v>
      </c>
      <c r="E204" t="s">
        <v>417</v>
      </c>
      <c r="F204" t="s">
        <v>420</v>
      </c>
      <c r="G204" t="s">
        <v>426</v>
      </c>
      <c r="I204">
        <v>158.76</v>
      </c>
    </row>
    <row r="205" spans="1:9">
      <c r="A205">
        <v>204</v>
      </c>
      <c r="B205" s="45">
        <v>41688</v>
      </c>
      <c r="C205" s="80" t="s">
        <v>443</v>
      </c>
      <c r="D205" t="s">
        <v>581</v>
      </c>
      <c r="G205" t="s">
        <v>421</v>
      </c>
      <c r="H205">
        <v>2000</v>
      </c>
    </row>
    <row r="206" spans="1:9">
      <c r="A206">
        <v>205</v>
      </c>
      <c r="B206" s="45">
        <v>41689</v>
      </c>
      <c r="C206" s="80" t="s">
        <v>445</v>
      </c>
      <c r="D206" t="s">
        <v>444</v>
      </c>
      <c r="E206" t="s">
        <v>417</v>
      </c>
      <c r="F206" t="s">
        <v>420</v>
      </c>
      <c r="G206" t="s">
        <v>421</v>
      </c>
      <c r="I206">
        <v>17</v>
      </c>
    </row>
    <row r="207" spans="1:9">
      <c r="A207">
        <v>206</v>
      </c>
      <c r="B207" s="45">
        <v>41689</v>
      </c>
      <c r="C207" s="80" t="s">
        <v>415</v>
      </c>
      <c r="D207" t="s">
        <v>582</v>
      </c>
      <c r="E207" t="s">
        <v>417</v>
      </c>
      <c r="F207" t="s">
        <v>491</v>
      </c>
      <c r="G207" t="s">
        <v>421</v>
      </c>
      <c r="I207">
        <v>213.5</v>
      </c>
    </row>
    <row r="208" spans="1:9">
      <c r="A208">
        <v>207</v>
      </c>
      <c r="B208" s="45">
        <v>41689</v>
      </c>
      <c r="C208" s="80" t="s">
        <v>418</v>
      </c>
      <c r="D208" t="s">
        <v>583</v>
      </c>
      <c r="E208" t="s">
        <v>417</v>
      </c>
      <c r="F208" t="s">
        <v>431</v>
      </c>
      <c r="G208" t="s">
        <v>421</v>
      </c>
      <c r="I208">
        <v>150</v>
      </c>
    </row>
    <row r="209" spans="1:9">
      <c r="A209">
        <v>208</v>
      </c>
      <c r="B209" s="45">
        <v>41689</v>
      </c>
      <c r="C209" s="80" t="s">
        <v>422</v>
      </c>
      <c r="D209" t="s">
        <v>531</v>
      </c>
      <c r="E209" t="s">
        <v>417</v>
      </c>
      <c r="F209" t="s">
        <v>420</v>
      </c>
      <c r="G209" t="s">
        <v>421</v>
      </c>
      <c r="I209">
        <v>18</v>
      </c>
    </row>
    <row r="210" spans="1:9">
      <c r="A210">
        <v>209</v>
      </c>
      <c r="B210" s="45">
        <v>41689</v>
      </c>
      <c r="C210" s="80" t="s">
        <v>423</v>
      </c>
      <c r="D210" t="s">
        <v>458</v>
      </c>
      <c r="E210" t="s">
        <v>459</v>
      </c>
      <c r="F210" t="s">
        <v>475</v>
      </c>
      <c r="G210" t="s">
        <v>421</v>
      </c>
      <c r="I210">
        <v>100</v>
      </c>
    </row>
    <row r="211" spans="1:9">
      <c r="A211">
        <v>210</v>
      </c>
      <c r="B211" s="45">
        <v>41689</v>
      </c>
      <c r="C211" s="80" t="s">
        <v>427</v>
      </c>
      <c r="D211" t="s">
        <v>458</v>
      </c>
      <c r="E211" t="s">
        <v>459</v>
      </c>
      <c r="F211" t="s">
        <v>476</v>
      </c>
      <c r="G211" t="s">
        <v>421</v>
      </c>
      <c r="I211">
        <v>100</v>
      </c>
    </row>
    <row r="212" spans="1:9">
      <c r="A212">
        <v>211</v>
      </c>
      <c r="B212" s="45">
        <v>41689</v>
      </c>
      <c r="C212" s="80" t="s">
        <v>429</v>
      </c>
      <c r="D212" t="s">
        <v>584</v>
      </c>
      <c r="E212" t="s">
        <v>417</v>
      </c>
      <c r="F212" t="s">
        <v>420</v>
      </c>
      <c r="G212" t="s">
        <v>421</v>
      </c>
      <c r="I212">
        <v>5</v>
      </c>
    </row>
    <row r="213" spans="1:9">
      <c r="A213">
        <v>212</v>
      </c>
      <c r="B213" s="45">
        <v>41689</v>
      </c>
      <c r="C213" s="80" t="s">
        <v>432</v>
      </c>
      <c r="D213" t="s">
        <v>585</v>
      </c>
      <c r="E213" t="s">
        <v>417</v>
      </c>
      <c r="F213" t="s">
        <v>420</v>
      </c>
      <c r="G213" t="s">
        <v>421</v>
      </c>
      <c r="I213">
        <v>10.5</v>
      </c>
    </row>
    <row r="214" spans="1:9">
      <c r="A214">
        <v>213</v>
      </c>
      <c r="B214" s="45">
        <v>41689</v>
      </c>
      <c r="C214" s="80" t="s">
        <v>434</v>
      </c>
      <c r="D214" t="s">
        <v>586</v>
      </c>
      <c r="E214" t="s">
        <v>435</v>
      </c>
      <c r="F214" t="s">
        <v>550</v>
      </c>
      <c r="G214" t="s">
        <v>546</v>
      </c>
      <c r="I214">
        <v>65</v>
      </c>
    </row>
    <row r="215" spans="1:9">
      <c r="A215">
        <v>214</v>
      </c>
      <c r="B215" s="45">
        <v>41690</v>
      </c>
      <c r="C215" s="80" t="s">
        <v>436</v>
      </c>
      <c r="D215" t="s">
        <v>586</v>
      </c>
      <c r="E215" t="s">
        <v>435</v>
      </c>
      <c r="F215" t="s">
        <v>550</v>
      </c>
      <c r="G215" t="s">
        <v>546</v>
      </c>
      <c r="I215">
        <v>65</v>
      </c>
    </row>
    <row r="216" spans="1:9">
      <c r="A216">
        <v>215</v>
      </c>
      <c r="B216" s="45">
        <v>41690</v>
      </c>
      <c r="C216" s="80" t="s">
        <v>437</v>
      </c>
      <c r="D216" t="s">
        <v>444</v>
      </c>
      <c r="E216" t="s">
        <v>417</v>
      </c>
      <c r="F216" t="s">
        <v>420</v>
      </c>
      <c r="G216" t="s">
        <v>421</v>
      </c>
      <c r="I216">
        <v>15</v>
      </c>
    </row>
    <row r="217" spans="1:9">
      <c r="A217">
        <v>216</v>
      </c>
      <c r="B217" s="45">
        <v>41690</v>
      </c>
      <c r="C217" s="80" t="s">
        <v>438</v>
      </c>
      <c r="D217" t="s">
        <v>458</v>
      </c>
      <c r="E217" t="s">
        <v>459</v>
      </c>
      <c r="F217" t="s">
        <v>587</v>
      </c>
      <c r="G217" t="s">
        <v>421</v>
      </c>
      <c r="I217">
        <v>200</v>
      </c>
    </row>
    <row r="218" spans="1:9">
      <c r="A218">
        <v>217</v>
      </c>
      <c r="B218" s="45">
        <v>41691</v>
      </c>
      <c r="C218" s="80" t="s">
        <v>439</v>
      </c>
      <c r="D218" t="s">
        <v>444</v>
      </c>
      <c r="E218" t="s">
        <v>417</v>
      </c>
      <c r="F218" t="s">
        <v>420</v>
      </c>
      <c r="G218" t="s">
        <v>421</v>
      </c>
      <c r="I218">
        <v>22.5</v>
      </c>
    </row>
    <row r="219" spans="1:9">
      <c r="A219">
        <v>218</v>
      </c>
      <c r="B219" s="45">
        <v>41691</v>
      </c>
      <c r="C219" s="80" t="s">
        <v>451</v>
      </c>
      <c r="D219" t="s">
        <v>458</v>
      </c>
      <c r="E219" t="s">
        <v>459</v>
      </c>
      <c r="F219" t="s">
        <v>538</v>
      </c>
      <c r="G219" t="s">
        <v>421</v>
      </c>
      <c r="I219">
        <v>392</v>
      </c>
    </row>
    <row r="220" spans="1:9">
      <c r="A220">
        <v>219</v>
      </c>
      <c r="B220" s="45">
        <v>41691</v>
      </c>
      <c r="C220" s="80" t="s">
        <v>443</v>
      </c>
      <c r="D220" t="s">
        <v>564</v>
      </c>
      <c r="E220" t="s">
        <v>417</v>
      </c>
      <c r="F220" t="s">
        <v>588</v>
      </c>
      <c r="G220" t="s">
        <v>546</v>
      </c>
      <c r="I220">
        <v>1</v>
      </c>
    </row>
    <row r="221" spans="1:9">
      <c r="A221">
        <v>220</v>
      </c>
      <c r="B221" s="45">
        <v>41692</v>
      </c>
      <c r="C221" s="80" t="s">
        <v>445</v>
      </c>
      <c r="D221" t="s">
        <v>444</v>
      </c>
      <c r="E221" t="s">
        <v>417</v>
      </c>
      <c r="F221" t="s">
        <v>420</v>
      </c>
      <c r="G221" t="s">
        <v>421</v>
      </c>
      <c r="I221">
        <v>15</v>
      </c>
    </row>
    <row r="222" spans="1:9">
      <c r="A222">
        <v>221</v>
      </c>
      <c r="B222" s="45">
        <v>41692</v>
      </c>
      <c r="C222" s="80" t="s">
        <v>415</v>
      </c>
      <c r="D222" t="s">
        <v>589</v>
      </c>
      <c r="E222" t="s">
        <v>417</v>
      </c>
      <c r="F222" t="s">
        <v>420</v>
      </c>
      <c r="G222" t="s">
        <v>421</v>
      </c>
      <c r="I222">
        <v>40</v>
      </c>
    </row>
    <row r="223" spans="1:9">
      <c r="A223">
        <v>222</v>
      </c>
      <c r="B223" s="45">
        <v>41692</v>
      </c>
      <c r="C223" s="80" t="s">
        <v>418</v>
      </c>
      <c r="D223" t="s">
        <v>442</v>
      </c>
      <c r="E223" t="s">
        <v>417</v>
      </c>
      <c r="F223" t="s">
        <v>420</v>
      </c>
      <c r="G223" t="s">
        <v>421</v>
      </c>
      <c r="I223">
        <v>273</v>
      </c>
    </row>
    <row r="224" spans="1:9">
      <c r="A224">
        <v>223</v>
      </c>
      <c r="B224" s="45">
        <v>41691</v>
      </c>
      <c r="C224" s="80" t="s">
        <v>422</v>
      </c>
      <c r="D224" t="s">
        <v>590</v>
      </c>
      <c r="E224" t="s">
        <v>435</v>
      </c>
      <c r="F224" t="s">
        <v>480</v>
      </c>
      <c r="G224" t="s">
        <v>546</v>
      </c>
      <c r="I224">
        <v>145</v>
      </c>
    </row>
    <row r="225" spans="1:9">
      <c r="A225">
        <v>224</v>
      </c>
      <c r="B225" s="45">
        <v>41692</v>
      </c>
      <c r="C225" s="80" t="s">
        <v>423</v>
      </c>
      <c r="D225" t="s">
        <v>591</v>
      </c>
      <c r="E225" t="s">
        <v>417</v>
      </c>
      <c r="F225" t="s">
        <v>530</v>
      </c>
      <c r="G225" t="s">
        <v>421</v>
      </c>
      <c r="I225">
        <v>10</v>
      </c>
    </row>
    <row r="226" spans="1:9">
      <c r="A226">
        <v>225</v>
      </c>
      <c r="B226" s="45">
        <v>41692</v>
      </c>
      <c r="C226" s="80" t="s">
        <v>427</v>
      </c>
      <c r="D226" t="s">
        <v>592</v>
      </c>
      <c r="E226" t="s">
        <v>417</v>
      </c>
      <c r="F226" t="s">
        <v>425</v>
      </c>
      <c r="G226" t="s">
        <v>421</v>
      </c>
      <c r="I226">
        <v>30</v>
      </c>
    </row>
    <row r="227" spans="1:9">
      <c r="A227">
        <v>226</v>
      </c>
      <c r="B227" s="45">
        <v>41693</v>
      </c>
      <c r="C227" s="80" t="s">
        <v>429</v>
      </c>
      <c r="D227" t="s">
        <v>444</v>
      </c>
      <c r="E227" t="s">
        <v>417</v>
      </c>
      <c r="F227" t="s">
        <v>420</v>
      </c>
      <c r="G227" t="s">
        <v>421</v>
      </c>
      <c r="I227">
        <v>26</v>
      </c>
    </row>
    <row r="228" spans="1:9">
      <c r="A228">
        <v>227</v>
      </c>
      <c r="B228" s="45">
        <v>41694</v>
      </c>
      <c r="C228" s="80" t="s">
        <v>432</v>
      </c>
      <c r="D228" t="s">
        <v>444</v>
      </c>
      <c r="E228" t="s">
        <v>417</v>
      </c>
      <c r="F228" t="s">
        <v>420</v>
      </c>
      <c r="G228" t="s">
        <v>421</v>
      </c>
      <c r="I228">
        <v>20</v>
      </c>
    </row>
    <row r="229" spans="1:9">
      <c r="A229">
        <v>228</v>
      </c>
      <c r="B229" s="45">
        <v>41694</v>
      </c>
      <c r="C229" s="80" t="s">
        <v>434</v>
      </c>
      <c r="D229" t="s">
        <v>428</v>
      </c>
      <c r="G229" t="s">
        <v>421</v>
      </c>
      <c r="H229">
        <v>2000</v>
      </c>
    </row>
    <row r="230" spans="1:9">
      <c r="A230">
        <v>229</v>
      </c>
      <c r="B230" s="45">
        <v>41694</v>
      </c>
      <c r="C230" s="80" t="s">
        <v>436</v>
      </c>
      <c r="D230" t="s">
        <v>593</v>
      </c>
      <c r="E230" t="s">
        <v>417</v>
      </c>
      <c r="F230" t="s">
        <v>425</v>
      </c>
      <c r="G230" t="s">
        <v>421</v>
      </c>
      <c r="I230">
        <v>200</v>
      </c>
    </row>
    <row r="231" spans="1:9">
      <c r="A231">
        <v>230</v>
      </c>
      <c r="B231" s="45">
        <v>41694</v>
      </c>
      <c r="C231" s="80" t="s">
        <v>437</v>
      </c>
      <c r="D231" t="s">
        <v>594</v>
      </c>
      <c r="E231" t="s">
        <v>435</v>
      </c>
      <c r="F231" t="s">
        <v>463</v>
      </c>
      <c r="G231" t="s">
        <v>421</v>
      </c>
      <c r="I231">
        <v>10</v>
      </c>
    </row>
    <row r="232" spans="1:9">
      <c r="A232">
        <v>231</v>
      </c>
      <c r="B232" s="45">
        <v>41694</v>
      </c>
      <c r="C232" s="80" t="s">
        <v>438</v>
      </c>
      <c r="D232" t="s">
        <v>595</v>
      </c>
      <c r="E232" t="s">
        <v>435</v>
      </c>
      <c r="F232" t="s">
        <v>596</v>
      </c>
      <c r="G232" t="s">
        <v>421</v>
      </c>
      <c r="I232">
        <v>10</v>
      </c>
    </row>
    <row r="233" spans="1:9">
      <c r="A233">
        <v>232</v>
      </c>
      <c r="B233" s="45">
        <v>41694</v>
      </c>
      <c r="C233" s="80" t="s">
        <v>439</v>
      </c>
      <c r="D233" t="s">
        <v>488</v>
      </c>
      <c r="E233" t="s">
        <v>417</v>
      </c>
      <c r="F233" t="s">
        <v>420</v>
      </c>
      <c r="G233" t="s">
        <v>426</v>
      </c>
      <c r="I233">
        <v>264.8</v>
      </c>
    </row>
    <row r="234" spans="1:9">
      <c r="A234">
        <v>233</v>
      </c>
      <c r="B234" s="45">
        <v>41694</v>
      </c>
      <c r="C234" s="80" t="s">
        <v>451</v>
      </c>
      <c r="D234" t="s">
        <v>597</v>
      </c>
      <c r="E234" t="s">
        <v>435</v>
      </c>
      <c r="F234" t="s">
        <v>465</v>
      </c>
      <c r="G234" t="s">
        <v>546</v>
      </c>
      <c r="I234">
        <v>125</v>
      </c>
    </row>
    <row r="235" spans="1:9">
      <c r="A235">
        <v>234</v>
      </c>
      <c r="B235" s="45">
        <v>41694</v>
      </c>
      <c r="C235" s="80" t="s">
        <v>443</v>
      </c>
      <c r="D235" t="s">
        <v>598</v>
      </c>
      <c r="E235" t="s">
        <v>435</v>
      </c>
      <c r="F235" t="s">
        <v>550</v>
      </c>
      <c r="G235" t="s">
        <v>546</v>
      </c>
      <c r="I235">
        <v>195</v>
      </c>
    </row>
    <row r="236" spans="1:9">
      <c r="A236">
        <v>235</v>
      </c>
      <c r="B236" s="45">
        <v>41694</v>
      </c>
      <c r="C236" s="80" t="s">
        <v>445</v>
      </c>
      <c r="D236" t="s">
        <v>599</v>
      </c>
      <c r="E236" t="s">
        <v>435</v>
      </c>
      <c r="F236" t="s">
        <v>600</v>
      </c>
      <c r="G236" t="s">
        <v>546</v>
      </c>
      <c r="I236">
        <v>65</v>
      </c>
    </row>
    <row r="237" spans="1:9">
      <c r="A237">
        <v>236</v>
      </c>
      <c r="B237" s="45">
        <v>41694</v>
      </c>
      <c r="C237" s="80" t="s">
        <v>415</v>
      </c>
      <c r="D237" t="s">
        <v>601</v>
      </c>
      <c r="E237" t="s">
        <v>435</v>
      </c>
      <c r="F237" t="s">
        <v>465</v>
      </c>
      <c r="G237" t="s">
        <v>546</v>
      </c>
      <c r="I237">
        <v>275</v>
      </c>
    </row>
    <row r="238" spans="1:9">
      <c r="A238">
        <v>237</v>
      </c>
      <c r="B238" s="45">
        <v>41694</v>
      </c>
      <c r="C238" s="80" t="s">
        <v>418</v>
      </c>
      <c r="D238" t="s">
        <v>602</v>
      </c>
      <c r="E238" t="s">
        <v>435</v>
      </c>
      <c r="F238" t="s">
        <v>578</v>
      </c>
      <c r="G238" t="s">
        <v>546</v>
      </c>
      <c r="I238">
        <v>32</v>
      </c>
    </row>
    <row r="239" spans="1:9">
      <c r="A239">
        <v>238</v>
      </c>
      <c r="B239" s="45">
        <v>41694</v>
      </c>
      <c r="C239" s="80" t="s">
        <v>422</v>
      </c>
      <c r="D239" t="s">
        <v>603</v>
      </c>
      <c r="E239" t="s">
        <v>435</v>
      </c>
      <c r="F239" t="s">
        <v>465</v>
      </c>
      <c r="G239" t="s">
        <v>546</v>
      </c>
      <c r="I239">
        <v>1</v>
      </c>
    </row>
    <row r="240" spans="1:9">
      <c r="A240">
        <v>239</v>
      </c>
      <c r="B240" s="45">
        <v>41694</v>
      </c>
      <c r="C240" s="80" t="s">
        <v>423</v>
      </c>
      <c r="D240" t="s">
        <v>604</v>
      </c>
      <c r="E240" t="s">
        <v>435</v>
      </c>
      <c r="F240" t="s">
        <v>578</v>
      </c>
      <c r="G240" t="s">
        <v>546</v>
      </c>
      <c r="I240">
        <v>62.5</v>
      </c>
    </row>
    <row r="241" spans="1:9">
      <c r="A241">
        <v>240</v>
      </c>
      <c r="B241" s="45">
        <v>41694</v>
      </c>
      <c r="C241" s="80" t="s">
        <v>427</v>
      </c>
      <c r="D241" t="s">
        <v>605</v>
      </c>
      <c r="E241" t="s">
        <v>435</v>
      </c>
      <c r="F241" t="s">
        <v>606</v>
      </c>
      <c r="G241" t="s">
        <v>546</v>
      </c>
      <c r="I241">
        <v>1</v>
      </c>
    </row>
    <row r="242" spans="1:9">
      <c r="A242">
        <v>241</v>
      </c>
      <c r="B242" s="45">
        <v>41695</v>
      </c>
      <c r="C242" s="80" t="s">
        <v>429</v>
      </c>
      <c r="D242" t="s">
        <v>444</v>
      </c>
      <c r="E242" t="s">
        <v>417</v>
      </c>
      <c r="F242" t="s">
        <v>420</v>
      </c>
      <c r="G242" t="s">
        <v>421</v>
      </c>
      <c r="I242">
        <v>20</v>
      </c>
    </row>
    <row r="243" spans="1:9">
      <c r="A243">
        <v>242</v>
      </c>
      <c r="B243" s="45">
        <v>41695</v>
      </c>
      <c r="C243" s="80" t="s">
        <v>432</v>
      </c>
      <c r="D243" t="s">
        <v>607</v>
      </c>
      <c r="E243" t="s">
        <v>435</v>
      </c>
      <c r="F243" t="s">
        <v>608</v>
      </c>
      <c r="G243" t="s">
        <v>421</v>
      </c>
      <c r="I243">
        <v>30</v>
      </c>
    </row>
    <row r="244" spans="1:9">
      <c r="A244">
        <v>243</v>
      </c>
      <c r="B244" s="45">
        <v>41695</v>
      </c>
      <c r="C244" s="80" t="s">
        <v>434</v>
      </c>
      <c r="D244" t="s">
        <v>609</v>
      </c>
      <c r="E244" t="s">
        <v>417</v>
      </c>
      <c r="F244" t="s">
        <v>425</v>
      </c>
      <c r="G244" t="s">
        <v>421</v>
      </c>
      <c r="I244">
        <v>500</v>
      </c>
    </row>
    <row r="245" spans="1:9">
      <c r="A245">
        <v>244</v>
      </c>
      <c r="B245" s="45">
        <v>41695</v>
      </c>
      <c r="C245" s="80" t="s">
        <v>436</v>
      </c>
      <c r="D245" t="s">
        <v>610</v>
      </c>
      <c r="E245" t="s">
        <v>417</v>
      </c>
      <c r="F245" t="s">
        <v>491</v>
      </c>
      <c r="G245" t="s">
        <v>421</v>
      </c>
      <c r="I245">
        <v>681</v>
      </c>
    </row>
    <row r="246" spans="1:9">
      <c r="A246">
        <v>245</v>
      </c>
      <c r="B246" s="45">
        <v>41696</v>
      </c>
      <c r="C246" s="80" t="s">
        <v>437</v>
      </c>
      <c r="D246" t="s">
        <v>444</v>
      </c>
      <c r="E246" t="s">
        <v>417</v>
      </c>
      <c r="F246" t="s">
        <v>420</v>
      </c>
      <c r="G246" t="s">
        <v>421</v>
      </c>
      <c r="I246">
        <v>20</v>
      </c>
    </row>
    <row r="247" spans="1:9">
      <c r="A247">
        <v>246</v>
      </c>
      <c r="B247" s="45">
        <v>41696</v>
      </c>
      <c r="C247" s="80" t="s">
        <v>438</v>
      </c>
      <c r="D247" t="s">
        <v>611</v>
      </c>
      <c r="G247" t="s">
        <v>421</v>
      </c>
      <c r="H247">
        <v>50</v>
      </c>
    </row>
    <row r="248" spans="1:9">
      <c r="A248">
        <v>247</v>
      </c>
      <c r="B248" s="45">
        <v>41696</v>
      </c>
      <c r="C248" s="80" t="s">
        <v>451</v>
      </c>
      <c r="D248" t="s">
        <v>458</v>
      </c>
      <c r="E248" t="s">
        <v>459</v>
      </c>
      <c r="F248" t="s">
        <v>587</v>
      </c>
      <c r="G248" t="s">
        <v>421</v>
      </c>
      <c r="I248">
        <v>50</v>
      </c>
    </row>
    <row r="249" spans="1:9">
      <c r="A249">
        <v>248</v>
      </c>
      <c r="B249" s="45">
        <v>41694</v>
      </c>
      <c r="C249" s="80" t="s">
        <v>451</v>
      </c>
      <c r="D249" t="s">
        <v>612</v>
      </c>
      <c r="E249" t="s">
        <v>417</v>
      </c>
      <c r="F249" t="s">
        <v>420</v>
      </c>
      <c r="G249" t="s">
        <v>426</v>
      </c>
      <c r="I249">
        <v>552</v>
      </c>
    </row>
    <row r="250" spans="1:9">
      <c r="A250">
        <v>249</v>
      </c>
      <c r="B250" s="45">
        <v>41695</v>
      </c>
      <c r="C250" s="80" t="s">
        <v>451</v>
      </c>
      <c r="D250" t="s">
        <v>485</v>
      </c>
      <c r="E250" t="s">
        <v>417</v>
      </c>
      <c r="F250" t="s">
        <v>425</v>
      </c>
      <c r="G250" t="s">
        <v>426</v>
      </c>
      <c r="I250">
        <v>700</v>
      </c>
    </row>
    <row r="251" spans="1:9">
      <c r="A251">
        <v>250</v>
      </c>
      <c r="B251" s="45">
        <v>41696</v>
      </c>
      <c r="C251" s="80" t="s">
        <v>443</v>
      </c>
      <c r="D251" t="s">
        <v>613</v>
      </c>
      <c r="E251" t="s">
        <v>435</v>
      </c>
      <c r="F251" t="s">
        <v>465</v>
      </c>
      <c r="G251" t="s">
        <v>546</v>
      </c>
      <c r="I251">
        <v>312.5</v>
      </c>
    </row>
    <row r="252" spans="1:9">
      <c r="A252">
        <v>251</v>
      </c>
      <c r="B252" s="45">
        <v>41696</v>
      </c>
      <c r="C252" s="80" t="s">
        <v>445</v>
      </c>
      <c r="D252" t="s">
        <v>614</v>
      </c>
      <c r="E252" t="s">
        <v>435</v>
      </c>
      <c r="F252" t="s">
        <v>465</v>
      </c>
      <c r="G252" t="s">
        <v>546</v>
      </c>
      <c r="I252">
        <v>750</v>
      </c>
    </row>
    <row r="253" spans="1:9">
      <c r="A253">
        <v>252</v>
      </c>
      <c r="B253" s="45">
        <v>41695</v>
      </c>
      <c r="C253" s="80" t="s">
        <v>415</v>
      </c>
      <c r="D253" t="s">
        <v>615</v>
      </c>
      <c r="E253" t="s">
        <v>459</v>
      </c>
      <c r="F253" t="s">
        <v>587</v>
      </c>
      <c r="G253" t="s">
        <v>421</v>
      </c>
      <c r="I253">
        <v>-150</v>
      </c>
    </row>
    <row r="254" spans="1:9">
      <c r="A254">
        <v>253</v>
      </c>
      <c r="B254" s="45">
        <v>41696</v>
      </c>
      <c r="C254" s="80" t="s">
        <v>418</v>
      </c>
      <c r="D254" t="s">
        <v>616</v>
      </c>
      <c r="E254" t="s">
        <v>417</v>
      </c>
      <c r="F254" t="s">
        <v>617</v>
      </c>
      <c r="G254" t="s">
        <v>421</v>
      </c>
      <c r="I254">
        <v>300</v>
      </c>
    </row>
    <row r="255" spans="1:9">
      <c r="A255">
        <v>254</v>
      </c>
      <c r="B255" s="45">
        <v>41697</v>
      </c>
      <c r="C255" s="80" t="s">
        <v>422</v>
      </c>
      <c r="D255" t="s">
        <v>444</v>
      </c>
      <c r="E255" t="s">
        <v>417</v>
      </c>
      <c r="F255" t="s">
        <v>420</v>
      </c>
      <c r="G255" t="s">
        <v>421</v>
      </c>
      <c r="I255">
        <v>20</v>
      </c>
    </row>
    <row r="256" spans="1:9">
      <c r="A256">
        <v>255</v>
      </c>
      <c r="B256" s="45">
        <v>41696</v>
      </c>
      <c r="C256" s="80" t="s">
        <v>423</v>
      </c>
      <c r="D256" t="s">
        <v>618</v>
      </c>
      <c r="E256" t="s">
        <v>417</v>
      </c>
      <c r="F256" t="s">
        <v>530</v>
      </c>
      <c r="G256" t="s">
        <v>426</v>
      </c>
      <c r="I256">
        <v>50.24</v>
      </c>
    </row>
    <row r="257" spans="1:9">
      <c r="A257">
        <v>256</v>
      </c>
      <c r="B257" s="45">
        <v>41695</v>
      </c>
      <c r="C257" s="80" t="s">
        <v>451</v>
      </c>
      <c r="D257" t="s">
        <v>461</v>
      </c>
      <c r="E257" t="s">
        <v>417</v>
      </c>
      <c r="F257" t="s">
        <v>420</v>
      </c>
      <c r="G257" t="s">
        <v>546</v>
      </c>
      <c r="I257">
        <v>212.78</v>
      </c>
    </row>
    <row r="258" spans="1:9">
      <c r="A258">
        <v>257</v>
      </c>
      <c r="B258" s="45">
        <v>41697</v>
      </c>
      <c r="C258" s="80" t="s">
        <v>451</v>
      </c>
      <c r="D258" t="s">
        <v>619</v>
      </c>
      <c r="E258" t="s">
        <v>417</v>
      </c>
      <c r="F258" t="s">
        <v>425</v>
      </c>
      <c r="G258" t="s">
        <v>421</v>
      </c>
      <c r="I258">
        <v>750</v>
      </c>
    </row>
    <row r="259" spans="1:9">
      <c r="A259">
        <v>258</v>
      </c>
      <c r="B259" s="45">
        <v>41695</v>
      </c>
      <c r="C259" s="80" t="s">
        <v>451</v>
      </c>
      <c r="D259" t="s">
        <v>620</v>
      </c>
      <c r="E259" t="s">
        <v>417</v>
      </c>
      <c r="F259" t="s">
        <v>621</v>
      </c>
      <c r="G259" t="s">
        <v>426</v>
      </c>
      <c r="I259">
        <v>120</v>
      </c>
    </row>
    <row r="260" spans="1:9">
      <c r="A260">
        <v>259</v>
      </c>
      <c r="B260" s="45">
        <v>41697</v>
      </c>
      <c r="C260" s="80" t="s">
        <v>443</v>
      </c>
      <c r="D260" t="s">
        <v>622</v>
      </c>
      <c r="E260" t="s">
        <v>417</v>
      </c>
      <c r="F260" t="s">
        <v>425</v>
      </c>
      <c r="G260" t="s">
        <v>426</v>
      </c>
      <c r="I260">
        <v>35</v>
      </c>
    </row>
    <row r="261" spans="1:9">
      <c r="A261">
        <v>260</v>
      </c>
      <c r="B261" s="45">
        <v>41698</v>
      </c>
      <c r="C261" s="80" t="s">
        <v>445</v>
      </c>
      <c r="D261" t="s">
        <v>444</v>
      </c>
      <c r="E261" t="s">
        <v>417</v>
      </c>
      <c r="F261" t="s">
        <v>420</v>
      </c>
      <c r="G261" t="s">
        <v>421</v>
      </c>
      <c r="I261">
        <v>26</v>
      </c>
    </row>
    <row r="262" spans="1:9">
      <c r="A262">
        <v>261</v>
      </c>
      <c r="B262" s="45">
        <v>41698</v>
      </c>
      <c r="C262" s="80" t="s">
        <v>415</v>
      </c>
      <c r="D262" t="s">
        <v>623</v>
      </c>
      <c r="E262" t="s">
        <v>417</v>
      </c>
      <c r="F262" t="s">
        <v>420</v>
      </c>
      <c r="G262" t="s">
        <v>426</v>
      </c>
      <c r="I262">
        <v>200</v>
      </c>
    </row>
    <row r="263" spans="1:9">
      <c r="A263">
        <v>262</v>
      </c>
      <c r="B263" s="45">
        <v>41698</v>
      </c>
      <c r="C263" s="80" t="s">
        <v>418</v>
      </c>
      <c r="D263" t="s">
        <v>624</v>
      </c>
      <c r="E263" t="s">
        <v>417</v>
      </c>
      <c r="F263" t="s">
        <v>420</v>
      </c>
      <c r="G263" t="s">
        <v>426</v>
      </c>
      <c r="I263">
        <v>139</v>
      </c>
    </row>
    <row r="264" spans="1:9">
      <c r="A264">
        <v>263</v>
      </c>
      <c r="B264" s="45">
        <v>41698</v>
      </c>
      <c r="C264" s="80" t="s">
        <v>422</v>
      </c>
      <c r="D264" t="s">
        <v>625</v>
      </c>
      <c r="E264" t="s">
        <v>417</v>
      </c>
      <c r="F264" t="s">
        <v>420</v>
      </c>
      <c r="G264" t="s">
        <v>426</v>
      </c>
      <c r="I264">
        <v>200</v>
      </c>
    </row>
    <row r="265" spans="1:9">
      <c r="A265">
        <v>264</v>
      </c>
      <c r="B265" s="45">
        <v>41698</v>
      </c>
      <c r="C265" s="80" t="s">
        <v>423</v>
      </c>
      <c r="D265" t="s">
        <v>428</v>
      </c>
      <c r="G265" t="s">
        <v>421</v>
      </c>
      <c r="H265">
        <v>35000</v>
      </c>
    </row>
    <row r="266" spans="1:9">
      <c r="A266">
        <v>265</v>
      </c>
      <c r="B266" s="45">
        <v>41698</v>
      </c>
      <c r="C266" s="80" t="s">
        <v>427</v>
      </c>
      <c r="D266" t="s">
        <v>626</v>
      </c>
      <c r="E266" t="s">
        <v>417</v>
      </c>
      <c r="F266" t="s">
        <v>517</v>
      </c>
      <c r="G266" t="s">
        <v>421</v>
      </c>
      <c r="I266">
        <v>25853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7"/>
  <dimension ref="A1:G523"/>
  <sheetViews>
    <sheetView workbookViewId="0">
      <selection activeCell="J6" sqref="J6"/>
    </sheetView>
  </sheetViews>
  <sheetFormatPr defaultRowHeight="15"/>
  <cols>
    <col min="1" max="1" width="10.140625" bestFit="1" customWidth="1"/>
  </cols>
  <sheetData>
    <row r="1" spans="1:7">
      <c r="A1" s="81" t="s">
        <v>627</v>
      </c>
      <c r="B1" s="81" t="s">
        <v>628</v>
      </c>
      <c r="C1" s="81" t="s">
        <v>629</v>
      </c>
      <c r="D1" s="81" t="s">
        <v>630</v>
      </c>
      <c r="E1" s="81" t="s">
        <v>631</v>
      </c>
      <c r="F1" s="81" t="s">
        <v>632</v>
      </c>
      <c r="G1" s="81" t="s">
        <v>633</v>
      </c>
    </row>
    <row r="2" spans="1:7">
      <c r="A2" s="45">
        <v>43089</v>
      </c>
      <c r="B2">
        <v>15.27</v>
      </c>
      <c r="C2">
        <v>15.31</v>
      </c>
      <c r="D2">
        <v>15.15</v>
      </c>
      <c r="E2">
        <v>15.21</v>
      </c>
      <c r="F2">
        <v>12.036241</v>
      </c>
      <c r="G2">
        <v>130373</v>
      </c>
    </row>
    <row r="3" spans="1:7">
      <c r="A3" s="45">
        <v>43090</v>
      </c>
      <c r="B3">
        <v>15.22</v>
      </c>
      <c r="C3">
        <v>15.5</v>
      </c>
      <c r="D3">
        <v>15</v>
      </c>
      <c r="E3">
        <v>15</v>
      </c>
      <c r="F3">
        <v>11.87006</v>
      </c>
      <c r="G3">
        <v>695907</v>
      </c>
    </row>
    <row r="4" spans="1:7">
      <c r="A4" s="45">
        <v>43091</v>
      </c>
      <c r="B4">
        <v>15.05</v>
      </c>
      <c r="C4">
        <v>15.25</v>
      </c>
      <c r="D4">
        <v>15.05</v>
      </c>
      <c r="E4">
        <v>15.09</v>
      </c>
      <c r="F4">
        <v>11.941280000000001</v>
      </c>
      <c r="G4">
        <v>212406</v>
      </c>
    </row>
    <row r="5" spans="1:7">
      <c r="A5" s="45">
        <v>43094</v>
      </c>
      <c r="B5">
        <v>15.11</v>
      </c>
      <c r="C5">
        <v>15.28</v>
      </c>
      <c r="D5">
        <v>15.11</v>
      </c>
      <c r="E5">
        <v>15.23</v>
      </c>
      <c r="F5">
        <v>12.052066999999999</v>
      </c>
      <c r="G5">
        <v>140968</v>
      </c>
    </row>
    <row r="6" spans="1:7">
      <c r="A6" s="45">
        <v>43095</v>
      </c>
      <c r="B6">
        <v>15.25</v>
      </c>
      <c r="C6">
        <v>15.32</v>
      </c>
      <c r="D6">
        <v>15.23</v>
      </c>
      <c r="E6">
        <v>15.3</v>
      </c>
      <c r="F6">
        <v>12.107461000000001</v>
      </c>
      <c r="G6">
        <v>112683</v>
      </c>
    </row>
    <row r="7" spans="1:7">
      <c r="A7" s="45">
        <v>43096</v>
      </c>
      <c r="B7">
        <v>15.3</v>
      </c>
      <c r="C7">
        <v>15.43</v>
      </c>
      <c r="D7">
        <v>15.21</v>
      </c>
      <c r="E7">
        <v>15.43</v>
      </c>
      <c r="F7">
        <v>12.210335000000001</v>
      </c>
      <c r="G7">
        <v>241797</v>
      </c>
    </row>
    <row r="8" spans="1:7">
      <c r="A8" s="45">
        <v>43097</v>
      </c>
      <c r="B8">
        <v>15.45</v>
      </c>
      <c r="C8">
        <v>15.67</v>
      </c>
      <c r="D8">
        <v>15.45</v>
      </c>
      <c r="E8">
        <v>15.65</v>
      </c>
      <c r="F8">
        <v>12.384429000000001</v>
      </c>
      <c r="G8">
        <v>270345</v>
      </c>
    </row>
    <row r="9" spans="1:7">
      <c r="A9" s="45">
        <v>43098</v>
      </c>
      <c r="B9">
        <v>15.67</v>
      </c>
      <c r="C9">
        <v>16.5</v>
      </c>
      <c r="D9">
        <v>15.6</v>
      </c>
      <c r="E9">
        <v>16.07</v>
      </c>
      <c r="F9">
        <v>12.71679</v>
      </c>
      <c r="G9">
        <v>440434</v>
      </c>
    </row>
    <row r="10" spans="1:7">
      <c r="A10" s="45">
        <v>43101</v>
      </c>
      <c r="B10">
        <v>16.07</v>
      </c>
      <c r="C10">
        <v>16.07</v>
      </c>
      <c r="D10">
        <v>16.07</v>
      </c>
      <c r="E10">
        <v>16.07</v>
      </c>
      <c r="F10">
        <v>12.71679</v>
      </c>
      <c r="G10">
        <v>0</v>
      </c>
    </row>
    <row r="11" spans="1:7">
      <c r="A11" s="45">
        <v>43102</v>
      </c>
      <c r="B11">
        <v>15.9</v>
      </c>
      <c r="C11">
        <v>16.149999999999999</v>
      </c>
      <c r="D11">
        <v>15.89</v>
      </c>
      <c r="E11">
        <v>16.040001</v>
      </c>
      <c r="F11">
        <v>12.693051000000001</v>
      </c>
      <c r="G11">
        <v>303151</v>
      </c>
    </row>
    <row r="12" spans="1:7">
      <c r="A12" s="45">
        <v>43103</v>
      </c>
      <c r="B12">
        <v>16.02</v>
      </c>
      <c r="C12">
        <v>16.040001</v>
      </c>
      <c r="D12">
        <v>15.74</v>
      </c>
      <c r="E12">
        <v>15.74</v>
      </c>
      <c r="F12">
        <v>12.455648999999999</v>
      </c>
      <c r="G12">
        <v>298332</v>
      </c>
    </row>
    <row r="13" spans="1:7">
      <c r="A13" s="45">
        <v>43104</v>
      </c>
      <c r="B13">
        <v>15.75</v>
      </c>
      <c r="C13">
        <v>15.98</v>
      </c>
      <c r="D13">
        <v>15.75</v>
      </c>
      <c r="E13">
        <v>15.83</v>
      </c>
      <c r="F13">
        <v>12.526870000000001</v>
      </c>
      <c r="G13">
        <v>243690</v>
      </c>
    </row>
    <row r="14" spans="1:7">
      <c r="A14" s="45">
        <v>43105</v>
      </c>
      <c r="B14">
        <v>15.85</v>
      </c>
      <c r="C14">
        <v>16.059999000000001</v>
      </c>
      <c r="D14">
        <v>15.84</v>
      </c>
      <c r="E14">
        <v>16</v>
      </c>
      <c r="F14">
        <v>12.661396999999999</v>
      </c>
      <c r="G14">
        <v>169252</v>
      </c>
    </row>
    <row r="15" spans="1:7">
      <c r="A15" s="45">
        <v>43108</v>
      </c>
      <c r="B15">
        <v>16.030000999999999</v>
      </c>
      <c r="C15">
        <v>16.200001</v>
      </c>
      <c r="D15">
        <v>16.030000999999999</v>
      </c>
      <c r="E15">
        <v>16.149999999999999</v>
      </c>
      <c r="F15">
        <v>12.780098000000001</v>
      </c>
      <c r="G15">
        <v>245387</v>
      </c>
    </row>
    <row r="16" spans="1:7">
      <c r="A16" s="45">
        <v>43109</v>
      </c>
      <c r="B16">
        <v>16.200001</v>
      </c>
      <c r="C16">
        <v>16.43</v>
      </c>
      <c r="D16">
        <v>16.02</v>
      </c>
      <c r="E16">
        <v>16.379999000000002</v>
      </c>
      <c r="F16">
        <v>12.962104999999999</v>
      </c>
      <c r="G16">
        <v>424337</v>
      </c>
    </row>
    <row r="17" spans="1:7">
      <c r="A17" s="45">
        <v>43110</v>
      </c>
      <c r="B17">
        <v>16.399999999999999</v>
      </c>
      <c r="C17">
        <v>16.459999</v>
      </c>
      <c r="D17">
        <v>16.049999</v>
      </c>
      <c r="E17">
        <v>16.100000000000001</v>
      </c>
      <c r="F17">
        <v>12.740531000000001</v>
      </c>
      <c r="G17">
        <v>443635</v>
      </c>
    </row>
    <row r="18" spans="1:7">
      <c r="A18" s="45">
        <v>43111</v>
      </c>
      <c r="B18">
        <v>16.110001</v>
      </c>
      <c r="C18">
        <v>16.350000000000001</v>
      </c>
      <c r="D18">
        <v>16.110001</v>
      </c>
      <c r="E18">
        <v>16.200001</v>
      </c>
      <c r="F18">
        <v>12.819665000000001</v>
      </c>
      <c r="G18">
        <v>206691</v>
      </c>
    </row>
    <row r="19" spans="1:7">
      <c r="A19" s="45">
        <v>43112</v>
      </c>
      <c r="B19">
        <v>16.23</v>
      </c>
      <c r="C19">
        <v>16.34</v>
      </c>
      <c r="D19">
        <v>16.23</v>
      </c>
      <c r="E19">
        <v>16.239999999999998</v>
      </c>
      <c r="F19">
        <v>12.851317999999999</v>
      </c>
      <c r="G19">
        <v>163502</v>
      </c>
    </row>
    <row r="20" spans="1:7">
      <c r="A20" s="45">
        <v>43115</v>
      </c>
      <c r="B20">
        <v>16.25</v>
      </c>
      <c r="C20">
        <v>16.25</v>
      </c>
      <c r="D20">
        <v>15.56</v>
      </c>
      <c r="E20">
        <v>15.61</v>
      </c>
      <c r="F20">
        <v>12.352776</v>
      </c>
      <c r="G20">
        <v>177297</v>
      </c>
    </row>
    <row r="21" spans="1:7">
      <c r="A21" s="45">
        <v>43116</v>
      </c>
      <c r="B21">
        <v>15.61</v>
      </c>
      <c r="C21">
        <v>16.200001</v>
      </c>
      <c r="D21">
        <v>15.6</v>
      </c>
      <c r="E21">
        <v>15.98</v>
      </c>
      <c r="F21">
        <v>12.645571</v>
      </c>
      <c r="G21">
        <v>314886</v>
      </c>
    </row>
    <row r="22" spans="1:7">
      <c r="A22" s="45">
        <v>43117</v>
      </c>
      <c r="B22">
        <v>16</v>
      </c>
      <c r="C22">
        <v>16.07</v>
      </c>
      <c r="D22">
        <v>15.8</v>
      </c>
      <c r="E22">
        <v>16.049999</v>
      </c>
      <c r="F22">
        <v>12.700964000000001</v>
      </c>
      <c r="G22">
        <v>260969</v>
      </c>
    </row>
    <row r="23" spans="1:7">
      <c r="A23" s="45">
        <v>43118</v>
      </c>
      <c r="B23">
        <v>16.049999</v>
      </c>
      <c r="C23">
        <v>16.120000999999998</v>
      </c>
      <c r="D23">
        <v>15.94</v>
      </c>
      <c r="E23">
        <v>16.079999999999998</v>
      </c>
      <c r="F23">
        <v>12.724705</v>
      </c>
      <c r="G23">
        <v>307814</v>
      </c>
    </row>
    <row r="24" spans="1:7">
      <c r="A24" s="45">
        <v>43119</v>
      </c>
      <c r="B24">
        <v>15.91</v>
      </c>
      <c r="C24">
        <v>16.23</v>
      </c>
      <c r="D24">
        <v>15.91</v>
      </c>
      <c r="E24">
        <v>16</v>
      </c>
      <c r="F24">
        <v>12.661396999999999</v>
      </c>
      <c r="G24">
        <v>210990</v>
      </c>
    </row>
    <row r="25" spans="1:7">
      <c r="A25" s="45">
        <v>43122</v>
      </c>
      <c r="B25">
        <v>15.99</v>
      </c>
      <c r="C25">
        <v>16.079999999999998</v>
      </c>
      <c r="D25">
        <v>15.96</v>
      </c>
      <c r="E25">
        <v>16</v>
      </c>
      <c r="F25">
        <v>12.661396999999999</v>
      </c>
      <c r="G25">
        <v>139976</v>
      </c>
    </row>
    <row r="26" spans="1:7">
      <c r="A26" s="45">
        <v>43123</v>
      </c>
      <c r="B26">
        <v>16.07</v>
      </c>
      <c r="C26">
        <v>16.079999999999998</v>
      </c>
      <c r="D26">
        <v>15.92</v>
      </c>
      <c r="E26">
        <v>16.040001</v>
      </c>
      <c r="F26">
        <v>12.693051000000001</v>
      </c>
      <c r="G26">
        <v>184798</v>
      </c>
    </row>
    <row r="27" spans="1:7">
      <c r="A27" s="45">
        <v>43124</v>
      </c>
      <c r="B27">
        <v>16.040001</v>
      </c>
      <c r="C27">
        <v>16.040001</v>
      </c>
      <c r="D27">
        <v>15.86</v>
      </c>
      <c r="E27">
        <v>16</v>
      </c>
      <c r="F27">
        <v>12.661396999999999</v>
      </c>
      <c r="G27">
        <v>245888</v>
      </c>
    </row>
    <row r="28" spans="1:7">
      <c r="A28" s="45">
        <v>43125</v>
      </c>
      <c r="B28">
        <v>15.95</v>
      </c>
      <c r="C28">
        <v>15.96</v>
      </c>
      <c r="D28">
        <v>15.87</v>
      </c>
      <c r="E28">
        <v>15.89</v>
      </c>
      <c r="F28">
        <v>12.574350000000001</v>
      </c>
      <c r="G28">
        <v>104786</v>
      </c>
    </row>
    <row r="29" spans="1:7">
      <c r="A29" s="45">
        <v>43126</v>
      </c>
      <c r="B29">
        <v>15.88</v>
      </c>
      <c r="C29">
        <v>15.97</v>
      </c>
      <c r="D29">
        <v>15.66</v>
      </c>
      <c r="E29">
        <v>15.69</v>
      </c>
      <c r="F29">
        <v>12.416081999999999</v>
      </c>
      <c r="G29">
        <v>242004</v>
      </c>
    </row>
    <row r="30" spans="1:7">
      <c r="A30" s="45">
        <v>43129</v>
      </c>
      <c r="B30">
        <v>15.73</v>
      </c>
      <c r="C30">
        <v>15.8</v>
      </c>
      <c r="D30">
        <v>15.55</v>
      </c>
      <c r="E30">
        <v>15.75</v>
      </c>
      <c r="F30">
        <v>12.463563000000001</v>
      </c>
      <c r="G30">
        <v>282103</v>
      </c>
    </row>
    <row r="31" spans="1:7">
      <c r="A31" s="45">
        <v>43130</v>
      </c>
      <c r="B31">
        <v>15.79</v>
      </c>
      <c r="C31">
        <v>15.82</v>
      </c>
      <c r="D31">
        <v>15.73</v>
      </c>
      <c r="E31">
        <v>15.78</v>
      </c>
      <c r="F31">
        <v>12.487303000000001</v>
      </c>
      <c r="G31">
        <v>229413</v>
      </c>
    </row>
    <row r="32" spans="1:7">
      <c r="A32" s="45">
        <v>43131</v>
      </c>
      <c r="B32">
        <v>15.79</v>
      </c>
      <c r="C32">
        <v>16.610001</v>
      </c>
      <c r="D32">
        <v>15.75</v>
      </c>
      <c r="E32">
        <v>15.94</v>
      </c>
      <c r="F32">
        <v>12.613916</v>
      </c>
      <c r="G32">
        <v>549421</v>
      </c>
    </row>
    <row r="33" spans="1:7">
      <c r="A33" s="45">
        <v>43132</v>
      </c>
      <c r="B33">
        <v>16.010000000000002</v>
      </c>
      <c r="C33">
        <v>16.100000000000001</v>
      </c>
      <c r="D33">
        <v>15.9</v>
      </c>
      <c r="E33">
        <v>15.92</v>
      </c>
      <c r="F33">
        <v>12.598089999999999</v>
      </c>
      <c r="G33">
        <v>306708</v>
      </c>
    </row>
    <row r="34" spans="1:7">
      <c r="A34" s="45">
        <v>43133</v>
      </c>
      <c r="B34">
        <v>15.93</v>
      </c>
      <c r="C34">
        <v>16</v>
      </c>
      <c r="D34">
        <v>15.8</v>
      </c>
      <c r="E34">
        <v>15.8</v>
      </c>
      <c r="F34">
        <v>12.503130000000001</v>
      </c>
      <c r="G34">
        <v>239291</v>
      </c>
    </row>
    <row r="35" spans="1:7">
      <c r="A35" s="45">
        <v>43136</v>
      </c>
      <c r="B35">
        <v>15.81</v>
      </c>
      <c r="C35">
        <v>15.85</v>
      </c>
      <c r="D35">
        <v>15.38</v>
      </c>
      <c r="E35">
        <v>15.42</v>
      </c>
      <c r="F35">
        <v>12.202422</v>
      </c>
      <c r="G35">
        <v>253960</v>
      </c>
    </row>
    <row r="36" spans="1:7">
      <c r="A36" s="45">
        <v>43137</v>
      </c>
      <c r="B36">
        <v>15.35</v>
      </c>
      <c r="C36">
        <v>15.35</v>
      </c>
      <c r="D36">
        <v>15.04</v>
      </c>
      <c r="E36">
        <v>15.19</v>
      </c>
      <c r="F36">
        <v>12.020414000000001</v>
      </c>
      <c r="G36">
        <v>219145</v>
      </c>
    </row>
    <row r="37" spans="1:7">
      <c r="A37" s="45">
        <v>43138</v>
      </c>
      <c r="B37">
        <v>15.22</v>
      </c>
      <c r="C37">
        <v>15.69</v>
      </c>
      <c r="D37">
        <v>15.13</v>
      </c>
      <c r="E37">
        <v>15.69</v>
      </c>
      <c r="F37">
        <v>12.416081999999999</v>
      </c>
      <c r="G37">
        <v>182569</v>
      </c>
    </row>
    <row r="38" spans="1:7">
      <c r="A38" s="45">
        <v>43139</v>
      </c>
      <c r="B38">
        <v>15.7</v>
      </c>
      <c r="C38">
        <v>15.7</v>
      </c>
      <c r="D38">
        <v>15.23</v>
      </c>
      <c r="E38">
        <v>15.34</v>
      </c>
      <c r="F38">
        <v>12.139115</v>
      </c>
      <c r="G38">
        <v>135125</v>
      </c>
    </row>
    <row r="39" spans="1:7">
      <c r="A39" s="45">
        <v>43140</v>
      </c>
      <c r="B39">
        <v>15.28</v>
      </c>
      <c r="C39">
        <v>15.31</v>
      </c>
      <c r="D39">
        <v>14.9</v>
      </c>
      <c r="E39">
        <v>15.11</v>
      </c>
      <c r="F39">
        <v>11.957107000000001</v>
      </c>
      <c r="G39">
        <v>151153</v>
      </c>
    </row>
    <row r="40" spans="1:7">
      <c r="A40" s="45">
        <v>43143</v>
      </c>
      <c r="B40">
        <v>15.17</v>
      </c>
      <c r="C40">
        <v>15.32</v>
      </c>
      <c r="D40">
        <v>15.01</v>
      </c>
      <c r="E40">
        <v>15.01</v>
      </c>
      <c r="F40">
        <v>11.877974</v>
      </c>
      <c r="G40">
        <v>133794</v>
      </c>
    </row>
    <row r="41" spans="1:7">
      <c r="A41" s="45">
        <v>43144</v>
      </c>
      <c r="B41">
        <v>15.09</v>
      </c>
      <c r="C41">
        <v>15.14</v>
      </c>
      <c r="D41">
        <v>14.83</v>
      </c>
      <c r="E41">
        <v>14.83</v>
      </c>
      <c r="F41">
        <v>11.735533</v>
      </c>
      <c r="G41">
        <v>72430</v>
      </c>
    </row>
    <row r="42" spans="1:7">
      <c r="A42" s="45">
        <v>43145</v>
      </c>
      <c r="B42">
        <v>14.87</v>
      </c>
      <c r="C42">
        <v>15.07</v>
      </c>
      <c r="D42">
        <v>14.68</v>
      </c>
      <c r="E42">
        <v>14.74</v>
      </c>
      <c r="F42">
        <v>11.664311</v>
      </c>
      <c r="G42">
        <v>175418</v>
      </c>
    </row>
    <row r="43" spans="1:7">
      <c r="A43" s="45">
        <v>43146</v>
      </c>
      <c r="B43">
        <v>14.75</v>
      </c>
      <c r="C43">
        <v>14.86</v>
      </c>
      <c r="D43">
        <v>14.57</v>
      </c>
      <c r="E43">
        <v>14.72</v>
      </c>
      <c r="F43">
        <v>11.648486</v>
      </c>
      <c r="G43">
        <v>319177</v>
      </c>
    </row>
    <row r="44" spans="1:7">
      <c r="A44" s="45">
        <v>43147</v>
      </c>
      <c r="B44">
        <v>14.75</v>
      </c>
      <c r="C44">
        <v>14.83</v>
      </c>
      <c r="D44">
        <v>14.54</v>
      </c>
      <c r="E44">
        <v>14.56</v>
      </c>
      <c r="F44">
        <v>11.521872</v>
      </c>
      <c r="G44">
        <v>250131</v>
      </c>
    </row>
    <row r="45" spans="1:7">
      <c r="A45" s="45">
        <v>43150</v>
      </c>
      <c r="B45">
        <v>14.6</v>
      </c>
      <c r="C45">
        <v>14.87</v>
      </c>
      <c r="D45">
        <v>14.6</v>
      </c>
      <c r="E45">
        <v>14.73</v>
      </c>
      <c r="F45">
        <v>11.656399</v>
      </c>
      <c r="G45">
        <v>249557</v>
      </c>
    </row>
    <row r="46" spans="1:7">
      <c r="A46" s="45">
        <v>43151</v>
      </c>
      <c r="B46">
        <v>14.74</v>
      </c>
      <c r="C46">
        <v>14.8</v>
      </c>
      <c r="D46">
        <v>14.54</v>
      </c>
      <c r="E46">
        <v>14.55</v>
      </c>
      <c r="F46">
        <v>11.513959</v>
      </c>
      <c r="G46">
        <v>346641</v>
      </c>
    </row>
    <row r="47" spans="1:7">
      <c r="A47" s="45">
        <v>43152</v>
      </c>
      <c r="B47">
        <v>14.7</v>
      </c>
      <c r="C47">
        <v>15.1</v>
      </c>
      <c r="D47">
        <v>14.69</v>
      </c>
      <c r="E47">
        <v>15.1</v>
      </c>
      <c r="F47">
        <v>11.949194</v>
      </c>
      <c r="G47">
        <v>800557</v>
      </c>
    </row>
    <row r="48" spans="1:7">
      <c r="A48" s="45">
        <v>43153</v>
      </c>
      <c r="B48">
        <v>15.15</v>
      </c>
      <c r="C48">
        <v>15.5</v>
      </c>
      <c r="D48">
        <v>15.03</v>
      </c>
      <c r="E48">
        <v>15.45</v>
      </c>
      <c r="F48">
        <v>12.226162</v>
      </c>
      <c r="G48">
        <v>812771</v>
      </c>
    </row>
    <row r="49" spans="1:7">
      <c r="A49" s="45">
        <v>43154</v>
      </c>
      <c r="B49">
        <v>15.5</v>
      </c>
      <c r="C49">
        <v>15.54</v>
      </c>
      <c r="D49">
        <v>15.27</v>
      </c>
      <c r="E49">
        <v>15.32</v>
      </c>
      <c r="F49">
        <v>12.123288000000001</v>
      </c>
      <c r="G49">
        <v>386851</v>
      </c>
    </row>
    <row r="50" spans="1:7">
      <c r="A50" s="45">
        <v>43157</v>
      </c>
      <c r="B50">
        <v>15.47</v>
      </c>
      <c r="C50">
        <v>15.5</v>
      </c>
      <c r="D50">
        <v>15.34</v>
      </c>
      <c r="E50">
        <v>15.42</v>
      </c>
      <c r="F50">
        <v>12.202422</v>
      </c>
      <c r="G50">
        <v>283517</v>
      </c>
    </row>
    <row r="51" spans="1:7">
      <c r="A51" s="45">
        <v>43158</v>
      </c>
      <c r="B51">
        <v>15.5</v>
      </c>
      <c r="C51">
        <v>15.93</v>
      </c>
      <c r="D51">
        <v>15.35</v>
      </c>
      <c r="E51">
        <v>15.89</v>
      </c>
      <c r="F51">
        <v>12.574350000000001</v>
      </c>
      <c r="G51">
        <v>689894</v>
      </c>
    </row>
    <row r="52" spans="1:7">
      <c r="A52" s="45">
        <v>43159</v>
      </c>
      <c r="B52">
        <v>15.8</v>
      </c>
      <c r="C52">
        <v>15.84</v>
      </c>
      <c r="D52">
        <v>15.52</v>
      </c>
      <c r="E52">
        <v>15.68</v>
      </c>
      <c r="F52">
        <v>12.408168999999999</v>
      </c>
      <c r="G52">
        <v>439924</v>
      </c>
    </row>
    <row r="53" spans="1:7">
      <c r="A53" s="45">
        <v>43160</v>
      </c>
      <c r="B53">
        <v>15.61</v>
      </c>
      <c r="C53">
        <v>15.68</v>
      </c>
      <c r="D53">
        <v>15.36</v>
      </c>
      <c r="E53">
        <v>15.63</v>
      </c>
      <c r="F53">
        <v>12.368601999999999</v>
      </c>
      <c r="G53">
        <v>912166</v>
      </c>
    </row>
    <row r="54" spans="1:7">
      <c r="A54" s="45">
        <v>43161</v>
      </c>
      <c r="B54">
        <v>15.63</v>
      </c>
      <c r="C54">
        <v>15.63</v>
      </c>
      <c r="D54">
        <v>15.05</v>
      </c>
      <c r="E54">
        <v>15.1</v>
      </c>
      <c r="F54">
        <v>11.949194</v>
      </c>
      <c r="G54">
        <v>780670</v>
      </c>
    </row>
    <row r="55" spans="1:7">
      <c r="A55" s="45">
        <v>43164</v>
      </c>
      <c r="B55">
        <v>15.09</v>
      </c>
      <c r="C55">
        <v>15.12</v>
      </c>
      <c r="D55">
        <v>14.72</v>
      </c>
      <c r="E55">
        <v>14.84</v>
      </c>
      <c r="F55">
        <v>11.743444999999999</v>
      </c>
      <c r="G55">
        <v>329378</v>
      </c>
    </row>
    <row r="56" spans="1:7">
      <c r="A56" s="45">
        <v>43165</v>
      </c>
      <c r="B56">
        <v>14.95</v>
      </c>
      <c r="C56">
        <v>15.04</v>
      </c>
      <c r="D56">
        <v>14.84</v>
      </c>
      <c r="E56">
        <v>14.88</v>
      </c>
      <c r="F56">
        <v>11.7751</v>
      </c>
      <c r="G56">
        <v>320968</v>
      </c>
    </row>
    <row r="57" spans="1:7">
      <c r="A57" s="45">
        <v>43166</v>
      </c>
      <c r="B57">
        <v>14.85</v>
      </c>
      <c r="C57">
        <v>14.95</v>
      </c>
      <c r="D57">
        <v>14.82</v>
      </c>
      <c r="E57">
        <v>14.88</v>
      </c>
      <c r="F57">
        <v>11.7751</v>
      </c>
      <c r="G57">
        <v>222777</v>
      </c>
    </row>
    <row r="58" spans="1:7">
      <c r="A58" s="45">
        <v>43167</v>
      </c>
      <c r="B58">
        <v>14.9</v>
      </c>
      <c r="C58">
        <v>15.01</v>
      </c>
      <c r="D58">
        <v>14.88</v>
      </c>
      <c r="E58">
        <v>14.94</v>
      </c>
      <c r="F58">
        <v>11.822578999999999</v>
      </c>
      <c r="G58">
        <v>192256</v>
      </c>
    </row>
    <row r="59" spans="1:7">
      <c r="A59" s="45">
        <v>43168</v>
      </c>
      <c r="B59">
        <v>14.93</v>
      </c>
      <c r="C59">
        <v>15.04</v>
      </c>
      <c r="D59">
        <v>14.9</v>
      </c>
      <c r="E59">
        <v>14.94</v>
      </c>
      <c r="F59">
        <v>11.822578999999999</v>
      </c>
      <c r="G59">
        <v>268763</v>
      </c>
    </row>
    <row r="60" spans="1:7">
      <c r="A60" s="45">
        <v>43171</v>
      </c>
      <c r="B60">
        <v>14.97</v>
      </c>
      <c r="C60">
        <v>15.18</v>
      </c>
      <c r="D60">
        <v>14.97</v>
      </c>
      <c r="E60">
        <v>15.15</v>
      </c>
      <c r="F60">
        <v>11.988759999999999</v>
      </c>
      <c r="G60">
        <v>283264</v>
      </c>
    </row>
    <row r="61" spans="1:7">
      <c r="A61" s="45">
        <v>43172</v>
      </c>
      <c r="B61">
        <v>15.24</v>
      </c>
      <c r="C61">
        <v>15.25</v>
      </c>
      <c r="D61">
        <v>15.12</v>
      </c>
      <c r="E61">
        <v>15.13</v>
      </c>
      <c r="F61">
        <v>11.972934</v>
      </c>
      <c r="G61">
        <v>256766</v>
      </c>
    </row>
    <row r="62" spans="1:7">
      <c r="A62" s="45">
        <v>43173</v>
      </c>
      <c r="B62">
        <v>15.13</v>
      </c>
      <c r="C62">
        <v>15.17</v>
      </c>
      <c r="D62">
        <v>14.94</v>
      </c>
      <c r="E62">
        <v>14.97</v>
      </c>
      <c r="F62">
        <v>11.84632</v>
      </c>
      <c r="G62">
        <v>233005</v>
      </c>
    </row>
    <row r="63" spans="1:7">
      <c r="A63" s="45">
        <v>43174</v>
      </c>
      <c r="B63">
        <v>15</v>
      </c>
      <c r="C63">
        <v>15.04</v>
      </c>
      <c r="D63">
        <v>14.91</v>
      </c>
      <c r="E63">
        <v>14.98</v>
      </c>
      <c r="F63">
        <v>11.854233000000001</v>
      </c>
      <c r="G63">
        <v>166397</v>
      </c>
    </row>
    <row r="64" spans="1:7">
      <c r="A64" s="45">
        <v>43175</v>
      </c>
      <c r="B64">
        <v>14.98</v>
      </c>
      <c r="C64">
        <v>15.05</v>
      </c>
      <c r="D64">
        <v>14.94</v>
      </c>
      <c r="E64">
        <v>15.02</v>
      </c>
      <c r="F64">
        <v>11.885887</v>
      </c>
      <c r="G64">
        <v>157716</v>
      </c>
    </row>
    <row r="65" spans="1:7">
      <c r="A65" s="45">
        <v>43178</v>
      </c>
      <c r="B65">
        <v>15.02</v>
      </c>
      <c r="C65">
        <v>15.23</v>
      </c>
      <c r="D65">
        <v>14.98</v>
      </c>
      <c r="E65">
        <v>15.1</v>
      </c>
      <c r="F65">
        <v>11.949194</v>
      </c>
      <c r="G65">
        <v>266032</v>
      </c>
    </row>
    <row r="66" spans="1:7">
      <c r="A66" s="45">
        <v>43179</v>
      </c>
      <c r="B66">
        <v>15.2</v>
      </c>
      <c r="C66">
        <v>15.22</v>
      </c>
      <c r="D66">
        <v>15.01</v>
      </c>
      <c r="E66">
        <v>15.05</v>
      </c>
      <c r="F66">
        <v>11.909627</v>
      </c>
      <c r="G66">
        <v>129371</v>
      </c>
    </row>
    <row r="67" spans="1:7">
      <c r="A67" s="45">
        <v>43180</v>
      </c>
      <c r="B67">
        <v>15.01</v>
      </c>
      <c r="C67">
        <v>15.39</v>
      </c>
      <c r="D67">
        <v>15.01</v>
      </c>
      <c r="E67">
        <v>15.31</v>
      </c>
      <c r="F67">
        <v>12.115375</v>
      </c>
      <c r="G67">
        <v>332507</v>
      </c>
    </row>
    <row r="68" spans="1:7">
      <c r="A68" s="45">
        <v>43181</v>
      </c>
      <c r="B68">
        <v>15.43</v>
      </c>
      <c r="C68">
        <v>15.85</v>
      </c>
      <c r="D68">
        <v>15.43</v>
      </c>
      <c r="E68">
        <v>15.57</v>
      </c>
      <c r="F68">
        <v>12.321122000000001</v>
      </c>
      <c r="G68">
        <v>381802</v>
      </c>
    </row>
    <row r="69" spans="1:7">
      <c r="A69" s="45">
        <v>43182</v>
      </c>
      <c r="B69">
        <v>15.4</v>
      </c>
      <c r="C69">
        <v>15.6</v>
      </c>
      <c r="D69">
        <v>15.21</v>
      </c>
      <c r="E69">
        <v>15.56</v>
      </c>
      <c r="F69">
        <v>12.31321</v>
      </c>
      <c r="G69">
        <v>280397</v>
      </c>
    </row>
    <row r="70" spans="1:7">
      <c r="A70" s="45">
        <v>43185</v>
      </c>
      <c r="B70">
        <v>15.66</v>
      </c>
      <c r="C70">
        <v>16.049999</v>
      </c>
      <c r="D70">
        <v>15.62</v>
      </c>
      <c r="E70">
        <v>15.91</v>
      </c>
      <c r="F70">
        <v>12.590178</v>
      </c>
      <c r="G70">
        <v>516310</v>
      </c>
    </row>
    <row r="71" spans="1:7">
      <c r="A71" s="45">
        <v>43186</v>
      </c>
      <c r="B71">
        <v>16.040001</v>
      </c>
      <c r="C71">
        <v>16.18</v>
      </c>
      <c r="D71">
        <v>15.98</v>
      </c>
      <c r="E71">
        <v>16.040001</v>
      </c>
      <c r="F71">
        <v>12.693051000000001</v>
      </c>
      <c r="G71">
        <v>641034</v>
      </c>
    </row>
    <row r="72" spans="1:7">
      <c r="A72" s="45">
        <v>43187</v>
      </c>
      <c r="B72">
        <v>16.049999</v>
      </c>
      <c r="C72">
        <v>16.100000000000001</v>
      </c>
      <c r="D72">
        <v>15.55</v>
      </c>
      <c r="E72">
        <v>15.68</v>
      </c>
      <c r="F72">
        <v>12.408168999999999</v>
      </c>
      <c r="G72">
        <v>623372</v>
      </c>
    </row>
    <row r="73" spans="1:7">
      <c r="A73" s="45">
        <v>43188</v>
      </c>
      <c r="B73">
        <v>14.3</v>
      </c>
      <c r="C73">
        <v>14.85</v>
      </c>
      <c r="D73">
        <v>14.15</v>
      </c>
      <c r="E73">
        <v>14.61</v>
      </c>
      <c r="F73">
        <v>12.81456</v>
      </c>
      <c r="G73">
        <v>950988</v>
      </c>
    </row>
    <row r="74" spans="1:7">
      <c r="A74" s="45">
        <v>43189</v>
      </c>
      <c r="B74">
        <v>14.7</v>
      </c>
      <c r="C74">
        <v>14.7</v>
      </c>
      <c r="D74">
        <v>14.41</v>
      </c>
      <c r="E74">
        <v>14.49</v>
      </c>
      <c r="F74">
        <v>12.709308</v>
      </c>
      <c r="G74">
        <v>131485</v>
      </c>
    </row>
    <row r="75" spans="1:7">
      <c r="A75" s="45">
        <v>43192</v>
      </c>
      <c r="B75">
        <v>14.5</v>
      </c>
      <c r="C75">
        <v>14.57</v>
      </c>
      <c r="D75">
        <v>14.47</v>
      </c>
      <c r="E75">
        <v>14.48</v>
      </c>
      <c r="F75">
        <v>12.700536</v>
      </c>
      <c r="G75">
        <v>149578</v>
      </c>
    </row>
    <row r="76" spans="1:7">
      <c r="A76" s="45">
        <v>43193</v>
      </c>
      <c r="B76">
        <v>14.48</v>
      </c>
      <c r="C76">
        <v>14.49</v>
      </c>
      <c r="D76">
        <v>14.24</v>
      </c>
      <c r="E76">
        <v>14.35</v>
      </c>
      <c r="F76">
        <v>12.586513</v>
      </c>
      <c r="G76">
        <v>213757</v>
      </c>
    </row>
    <row r="77" spans="1:7">
      <c r="A77" s="45">
        <v>43194</v>
      </c>
      <c r="B77">
        <v>14.4</v>
      </c>
      <c r="C77">
        <v>14.43</v>
      </c>
      <c r="D77">
        <v>14.26</v>
      </c>
      <c r="E77">
        <v>14.31</v>
      </c>
      <c r="F77">
        <v>12.551429000000001</v>
      </c>
      <c r="G77">
        <v>290270</v>
      </c>
    </row>
    <row r="78" spans="1:7">
      <c r="A78" s="45">
        <v>43195</v>
      </c>
      <c r="B78">
        <v>14.3</v>
      </c>
      <c r="C78">
        <v>14.32</v>
      </c>
      <c r="D78">
        <v>14.22</v>
      </c>
      <c r="E78">
        <v>14.23</v>
      </c>
      <c r="F78">
        <v>12.481258</v>
      </c>
      <c r="G78">
        <v>191362</v>
      </c>
    </row>
    <row r="79" spans="1:7">
      <c r="A79" s="45">
        <v>43196</v>
      </c>
      <c r="B79">
        <v>14.3</v>
      </c>
      <c r="C79">
        <v>14.3</v>
      </c>
      <c r="D79">
        <v>14.18</v>
      </c>
      <c r="E79">
        <v>14.3</v>
      </c>
      <c r="F79">
        <v>12.542657</v>
      </c>
      <c r="G79">
        <v>297748</v>
      </c>
    </row>
    <row r="80" spans="1:7">
      <c r="A80" s="45">
        <v>43199</v>
      </c>
      <c r="B80">
        <v>14.32</v>
      </c>
      <c r="C80">
        <v>14.62</v>
      </c>
      <c r="D80">
        <v>14.23</v>
      </c>
      <c r="E80">
        <v>14.23</v>
      </c>
      <c r="F80">
        <v>12.481258</v>
      </c>
      <c r="G80">
        <v>450431</v>
      </c>
    </row>
    <row r="81" spans="1:7">
      <c r="A81" s="45">
        <v>43200</v>
      </c>
      <c r="B81">
        <v>14.4</v>
      </c>
      <c r="C81">
        <v>14.4</v>
      </c>
      <c r="D81">
        <v>14.07</v>
      </c>
      <c r="E81">
        <v>14.18</v>
      </c>
      <c r="F81">
        <v>12.437404000000001</v>
      </c>
      <c r="G81">
        <v>394299</v>
      </c>
    </row>
    <row r="82" spans="1:7">
      <c r="A82" s="45">
        <v>43201</v>
      </c>
      <c r="B82">
        <v>14.1</v>
      </c>
      <c r="C82">
        <v>14.27</v>
      </c>
      <c r="D82">
        <v>13.7</v>
      </c>
      <c r="E82">
        <v>14</v>
      </c>
      <c r="F82">
        <v>12.279524</v>
      </c>
      <c r="G82">
        <v>283699</v>
      </c>
    </row>
    <row r="83" spans="1:7">
      <c r="A83" s="45">
        <v>43202</v>
      </c>
      <c r="B83">
        <v>14</v>
      </c>
      <c r="C83">
        <v>14.1</v>
      </c>
      <c r="D83">
        <v>13.9</v>
      </c>
      <c r="E83">
        <v>13.97</v>
      </c>
      <c r="F83">
        <v>12.253211</v>
      </c>
      <c r="G83">
        <v>202731</v>
      </c>
    </row>
    <row r="84" spans="1:7">
      <c r="A84" s="45">
        <v>43203</v>
      </c>
      <c r="B84">
        <v>14.1</v>
      </c>
      <c r="C84">
        <v>14.1</v>
      </c>
      <c r="D84">
        <v>13.96</v>
      </c>
      <c r="E84">
        <v>13.99</v>
      </c>
      <c r="F84">
        <v>12.270752999999999</v>
      </c>
      <c r="G84">
        <v>307381</v>
      </c>
    </row>
    <row r="85" spans="1:7">
      <c r="A85" s="45">
        <v>43206</v>
      </c>
      <c r="B85">
        <v>14.03</v>
      </c>
      <c r="C85">
        <v>14.25</v>
      </c>
      <c r="D85">
        <v>14.03</v>
      </c>
      <c r="E85">
        <v>14.2</v>
      </c>
      <c r="F85">
        <v>12.454946</v>
      </c>
      <c r="G85">
        <v>161834</v>
      </c>
    </row>
    <row r="86" spans="1:7">
      <c r="A86" s="45">
        <v>43207</v>
      </c>
      <c r="B86">
        <v>14.2</v>
      </c>
      <c r="C86">
        <v>14.23</v>
      </c>
      <c r="D86">
        <v>13.72</v>
      </c>
      <c r="E86">
        <v>13.75</v>
      </c>
      <c r="F86">
        <v>12.060247</v>
      </c>
      <c r="G86">
        <v>225951</v>
      </c>
    </row>
    <row r="87" spans="1:7">
      <c r="A87" s="45">
        <v>43208</v>
      </c>
      <c r="B87">
        <v>13.74</v>
      </c>
      <c r="C87">
        <v>14.08</v>
      </c>
      <c r="D87">
        <v>13.65</v>
      </c>
      <c r="E87">
        <v>14.04</v>
      </c>
      <c r="F87">
        <v>12.314609000000001</v>
      </c>
      <c r="G87">
        <v>183986</v>
      </c>
    </row>
    <row r="88" spans="1:7">
      <c r="A88" s="45">
        <v>43209</v>
      </c>
      <c r="B88">
        <v>14.08</v>
      </c>
      <c r="C88">
        <v>14.08</v>
      </c>
      <c r="D88">
        <v>13.92</v>
      </c>
      <c r="E88">
        <v>13.98</v>
      </c>
      <c r="F88">
        <v>12.261982</v>
      </c>
      <c r="G88">
        <v>175265</v>
      </c>
    </row>
    <row r="89" spans="1:7">
      <c r="A89" s="45">
        <v>43210</v>
      </c>
      <c r="B89">
        <v>14</v>
      </c>
      <c r="C89">
        <v>14.01</v>
      </c>
      <c r="D89">
        <v>13.88</v>
      </c>
      <c r="E89">
        <v>13.9</v>
      </c>
      <c r="F89">
        <v>12.191813</v>
      </c>
      <c r="G89">
        <v>299589</v>
      </c>
    </row>
    <row r="90" spans="1:7">
      <c r="A90" s="45">
        <v>43213</v>
      </c>
      <c r="B90">
        <v>13.9</v>
      </c>
      <c r="C90">
        <v>13.9</v>
      </c>
      <c r="D90">
        <v>13.9</v>
      </c>
      <c r="E90">
        <v>13.9</v>
      </c>
      <c r="F90">
        <v>12.191813</v>
      </c>
      <c r="G90">
        <v>0</v>
      </c>
    </row>
    <row r="91" spans="1:7">
      <c r="A91" s="45">
        <v>43214</v>
      </c>
      <c r="B91">
        <v>13.92</v>
      </c>
      <c r="C91">
        <v>13.93</v>
      </c>
      <c r="D91">
        <v>13.8</v>
      </c>
      <c r="E91">
        <v>13.83</v>
      </c>
      <c r="F91">
        <v>12.130416</v>
      </c>
      <c r="G91">
        <v>127692</v>
      </c>
    </row>
    <row r="92" spans="1:7">
      <c r="A92" s="45">
        <v>43215</v>
      </c>
      <c r="B92">
        <v>13.85</v>
      </c>
      <c r="C92">
        <v>13.92</v>
      </c>
      <c r="D92">
        <v>13.59</v>
      </c>
      <c r="E92">
        <v>13.59</v>
      </c>
      <c r="F92">
        <v>11.919909000000001</v>
      </c>
      <c r="G92">
        <v>194760</v>
      </c>
    </row>
    <row r="93" spans="1:7">
      <c r="A93" s="45">
        <v>43216</v>
      </c>
      <c r="B93">
        <v>13.59</v>
      </c>
      <c r="C93">
        <v>13.69</v>
      </c>
      <c r="D93">
        <v>13.43</v>
      </c>
      <c r="E93">
        <v>13.45</v>
      </c>
      <c r="F93">
        <v>11.797114000000001</v>
      </c>
      <c r="G93">
        <v>182250</v>
      </c>
    </row>
    <row r="94" spans="1:7">
      <c r="A94" s="45">
        <v>43217</v>
      </c>
      <c r="B94">
        <v>13.42</v>
      </c>
      <c r="C94">
        <v>13.52</v>
      </c>
      <c r="D94">
        <v>13.4</v>
      </c>
      <c r="E94">
        <v>13.47</v>
      </c>
      <c r="F94">
        <v>11.814657</v>
      </c>
      <c r="G94">
        <v>108275</v>
      </c>
    </row>
    <row r="95" spans="1:7">
      <c r="A95" s="45">
        <v>43220</v>
      </c>
      <c r="B95">
        <v>13.55</v>
      </c>
      <c r="C95">
        <v>13.65</v>
      </c>
      <c r="D95">
        <v>13.35</v>
      </c>
      <c r="E95">
        <v>13.35</v>
      </c>
      <c r="F95">
        <v>11.709403999999999</v>
      </c>
      <c r="G95">
        <v>124910</v>
      </c>
    </row>
    <row r="96" spans="1:7">
      <c r="A96" s="45">
        <v>43221</v>
      </c>
      <c r="B96">
        <v>13.35</v>
      </c>
      <c r="C96">
        <v>13.35</v>
      </c>
      <c r="D96">
        <v>13.35</v>
      </c>
      <c r="E96">
        <v>13.35</v>
      </c>
      <c r="F96">
        <v>11.709403999999999</v>
      </c>
      <c r="G96">
        <v>0</v>
      </c>
    </row>
    <row r="97" spans="1:7">
      <c r="A97" s="45">
        <v>43222</v>
      </c>
      <c r="B97">
        <v>13.6</v>
      </c>
      <c r="C97">
        <v>13.6</v>
      </c>
      <c r="D97">
        <v>13.14</v>
      </c>
      <c r="E97">
        <v>13.23</v>
      </c>
      <c r="F97">
        <v>11.604150000000001</v>
      </c>
      <c r="G97">
        <v>136767</v>
      </c>
    </row>
    <row r="98" spans="1:7">
      <c r="A98" s="45">
        <v>43223</v>
      </c>
      <c r="B98">
        <v>13.2</v>
      </c>
      <c r="C98">
        <v>13.2</v>
      </c>
      <c r="D98">
        <v>12.98</v>
      </c>
      <c r="E98">
        <v>13</v>
      </c>
      <c r="F98">
        <v>11.402415</v>
      </c>
      <c r="G98">
        <v>168757</v>
      </c>
    </row>
    <row r="99" spans="1:7">
      <c r="A99" s="45">
        <v>43224</v>
      </c>
      <c r="B99">
        <v>13.09</v>
      </c>
      <c r="C99">
        <v>13.09</v>
      </c>
      <c r="D99">
        <v>12.55</v>
      </c>
      <c r="E99">
        <v>12.71</v>
      </c>
      <c r="F99">
        <v>11.148054</v>
      </c>
      <c r="G99">
        <v>339556</v>
      </c>
    </row>
    <row r="100" spans="1:7">
      <c r="A100" s="45">
        <v>43227</v>
      </c>
      <c r="B100">
        <v>12.72</v>
      </c>
      <c r="C100">
        <v>12.79</v>
      </c>
      <c r="D100">
        <v>12.61</v>
      </c>
      <c r="E100">
        <v>12.65</v>
      </c>
      <c r="F100">
        <v>11.095427000000001</v>
      </c>
      <c r="G100">
        <v>125150</v>
      </c>
    </row>
    <row r="101" spans="1:7">
      <c r="A101" s="45">
        <v>43228</v>
      </c>
      <c r="B101">
        <v>12.62</v>
      </c>
      <c r="C101">
        <v>12.64</v>
      </c>
      <c r="D101">
        <v>11.84</v>
      </c>
      <c r="E101">
        <v>12.07</v>
      </c>
      <c r="F101">
        <v>10.586703999999999</v>
      </c>
      <c r="G101">
        <v>201479</v>
      </c>
    </row>
    <row r="102" spans="1:7">
      <c r="A102" s="45">
        <v>43229</v>
      </c>
      <c r="B102">
        <v>11.85</v>
      </c>
      <c r="C102">
        <v>12.2</v>
      </c>
      <c r="D102">
        <v>11.8</v>
      </c>
      <c r="E102">
        <v>12.03</v>
      </c>
      <c r="F102">
        <v>10.55162</v>
      </c>
      <c r="G102">
        <v>118159</v>
      </c>
    </row>
    <row r="103" spans="1:7">
      <c r="A103" s="45">
        <v>43230</v>
      </c>
      <c r="B103">
        <v>11.82</v>
      </c>
      <c r="C103">
        <v>11.82</v>
      </c>
      <c r="D103">
        <v>11.3</v>
      </c>
      <c r="E103">
        <v>11.7</v>
      </c>
      <c r="F103">
        <v>10.262174</v>
      </c>
      <c r="G103">
        <v>367885</v>
      </c>
    </row>
    <row r="104" spans="1:7">
      <c r="A104" s="45">
        <v>43231</v>
      </c>
      <c r="B104">
        <v>11.79</v>
      </c>
      <c r="C104">
        <v>11.79</v>
      </c>
      <c r="D104">
        <v>11.54</v>
      </c>
      <c r="E104">
        <v>11.61</v>
      </c>
      <c r="F104">
        <v>10.183233</v>
      </c>
      <c r="G104">
        <v>266675</v>
      </c>
    </row>
    <row r="105" spans="1:7">
      <c r="A105" s="45">
        <v>43234</v>
      </c>
      <c r="B105">
        <v>11.6</v>
      </c>
      <c r="C105">
        <v>11.9</v>
      </c>
      <c r="D105">
        <v>11.58</v>
      </c>
      <c r="E105">
        <v>11.79</v>
      </c>
      <c r="F105">
        <v>10.341113</v>
      </c>
      <c r="G105">
        <v>145337</v>
      </c>
    </row>
    <row r="106" spans="1:7">
      <c r="A106" s="45">
        <v>43235</v>
      </c>
      <c r="B106">
        <v>11.79</v>
      </c>
      <c r="C106">
        <v>11.81</v>
      </c>
      <c r="D106">
        <v>11.59</v>
      </c>
      <c r="E106">
        <v>11.64</v>
      </c>
      <c r="F106">
        <v>10.209548</v>
      </c>
      <c r="G106">
        <v>110073</v>
      </c>
    </row>
    <row r="107" spans="1:7">
      <c r="A107" s="45">
        <v>43236</v>
      </c>
      <c r="B107">
        <v>11.62</v>
      </c>
      <c r="C107">
        <v>11.68</v>
      </c>
      <c r="D107">
        <v>11.47</v>
      </c>
      <c r="E107">
        <v>11.49</v>
      </c>
      <c r="F107">
        <v>10.077980999999999</v>
      </c>
      <c r="G107">
        <v>208474</v>
      </c>
    </row>
    <row r="108" spans="1:7">
      <c r="A108" s="45">
        <v>43237</v>
      </c>
      <c r="B108">
        <v>11.52</v>
      </c>
      <c r="C108">
        <v>11.58</v>
      </c>
      <c r="D108">
        <v>11.4</v>
      </c>
      <c r="E108">
        <v>11.51</v>
      </c>
      <c r="F108">
        <v>10.095523</v>
      </c>
      <c r="G108">
        <v>305727</v>
      </c>
    </row>
    <row r="109" spans="1:7">
      <c r="A109" s="45">
        <v>43238</v>
      </c>
      <c r="B109">
        <v>11.52</v>
      </c>
      <c r="C109">
        <v>11.6</v>
      </c>
      <c r="D109">
        <v>11.49</v>
      </c>
      <c r="E109">
        <v>11.55</v>
      </c>
      <c r="F109">
        <v>10.130608000000001</v>
      </c>
      <c r="G109">
        <v>98960</v>
      </c>
    </row>
    <row r="110" spans="1:7">
      <c r="A110" s="45">
        <v>43241</v>
      </c>
      <c r="B110">
        <v>11.55</v>
      </c>
      <c r="C110">
        <v>11.65</v>
      </c>
      <c r="D110">
        <v>11.5</v>
      </c>
      <c r="E110">
        <v>11.56</v>
      </c>
      <c r="F110">
        <v>10.139379</v>
      </c>
      <c r="G110">
        <v>98483</v>
      </c>
    </row>
    <row r="111" spans="1:7">
      <c r="A111" s="45">
        <v>43242</v>
      </c>
      <c r="B111">
        <v>11.59</v>
      </c>
      <c r="C111">
        <v>11.65</v>
      </c>
      <c r="D111">
        <v>11.49</v>
      </c>
      <c r="E111">
        <v>11.65</v>
      </c>
      <c r="F111">
        <v>10.218318</v>
      </c>
      <c r="G111">
        <v>189525</v>
      </c>
    </row>
    <row r="112" spans="1:7">
      <c r="A112" s="45">
        <v>43243</v>
      </c>
      <c r="B112">
        <v>11.77</v>
      </c>
      <c r="C112">
        <v>11.77</v>
      </c>
      <c r="D112">
        <v>11.35</v>
      </c>
      <c r="E112">
        <v>11.41</v>
      </c>
      <c r="F112">
        <v>10.007813000000001</v>
      </c>
      <c r="G112">
        <v>233236</v>
      </c>
    </row>
    <row r="113" spans="1:7">
      <c r="A113" s="45">
        <v>43244</v>
      </c>
      <c r="B113">
        <v>11.55</v>
      </c>
      <c r="C113">
        <v>11.86</v>
      </c>
      <c r="D113">
        <v>11.42</v>
      </c>
      <c r="E113">
        <v>11.55</v>
      </c>
      <c r="F113">
        <v>10.130608000000001</v>
      </c>
      <c r="G113">
        <v>263491</v>
      </c>
    </row>
    <row r="114" spans="1:7">
      <c r="A114" s="45">
        <v>43245</v>
      </c>
      <c r="B114">
        <v>11.6</v>
      </c>
      <c r="C114">
        <v>11.89</v>
      </c>
      <c r="D114">
        <v>11.51</v>
      </c>
      <c r="E114">
        <v>11.54</v>
      </c>
      <c r="F114">
        <v>10.121836999999999</v>
      </c>
      <c r="G114">
        <v>233611</v>
      </c>
    </row>
    <row r="115" spans="1:7">
      <c r="A115" s="45">
        <v>43248</v>
      </c>
      <c r="B115">
        <v>11.57</v>
      </c>
      <c r="C115">
        <v>12.15</v>
      </c>
      <c r="D115">
        <v>11.57</v>
      </c>
      <c r="E115">
        <v>12.02</v>
      </c>
      <c r="F115">
        <v>10.542849</v>
      </c>
      <c r="G115">
        <v>431508</v>
      </c>
    </row>
    <row r="116" spans="1:7">
      <c r="A116" s="45">
        <v>43249</v>
      </c>
      <c r="B116">
        <v>12.13</v>
      </c>
      <c r="C116">
        <v>12.13</v>
      </c>
      <c r="D116">
        <v>11.74</v>
      </c>
      <c r="E116">
        <v>11.77</v>
      </c>
      <c r="F116">
        <v>10.323572</v>
      </c>
      <c r="G116">
        <v>179403</v>
      </c>
    </row>
    <row r="117" spans="1:7">
      <c r="A117" s="45">
        <v>43250</v>
      </c>
      <c r="B117">
        <v>11.9</v>
      </c>
      <c r="C117">
        <v>11.93</v>
      </c>
      <c r="D117">
        <v>11.72</v>
      </c>
      <c r="E117">
        <v>11.87</v>
      </c>
      <c r="F117">
        <v>10.411282999999999</v>
      </c>
      <c r="G117">
        <v>250419</v>
      </c>
    </row>
    <row r="118" spans="1:7">
      <c r="A118" s="45">
        <v>43251</v>
      </c>
      <c r="B118">
        <v>11.97</v>
      </c>
      <c r="C118">
        <v>12.01</v>
      </c>
      <c r="D118">
        <v>11.85</v>
      </c>
      <c r="E118">
        <v>11.85</v>
      </c>
      <c r="F118">
        <v>10.393741</v>
      </c>
      <c r="G118">
        <v>138762</v>
      </c>
    </row>
    <row r="119" spans="1:7">
      <c r="A119" s="45">
        <v>43252</v>
      </c>
      <c r="B119">
        <v>12</v>
      </c>
      <c r="C119">
        <v>12</v>
      </c>
      <c r="D119">
        <v>11.45</v>
      </c>
      <c r="E119">
        <v>11.49</v>
      </c>
      <c r="F119">
        <v>10.077980999999999</v>
      </c>
      <c r="G119">
        <v>607371</v>
      </c>
    </row>
    <row r="120" spans="1:7">
      <c r="A120" s="45">
        <v>43255</v>
      </c>
      <c r="B120">
        <v>11.43</v>
      </c>
      <c r="C120">
        <v>11.53</v>
      </c>
      <c r="D120">
        <v>11.23</v>
      </c>
      <c r="E120">
        <v>11.23</v>
      </c>
      <c r="F120">
        <v>9.849933</v>
      </c>
      <c r="G120">
        <v>445890</v>
      </c>
    </row>
    <row r="121" spans="1:7">
      <c r="A121" s="45">
        <v>43256</v>
      </c>
      <c r="B121">
        <v>11.2</v>
      </c>
      <c r="C121">
        <v>11.36</v>
      </c>
      <c r="D121">
        <v>11.16</v>
      </c>
      <c r="E121">
        <v>11.21</v>
      </c>
      <c r="F121">
        <v>9.8323909999999994</v>
      </c>
      <c r="G121">
        <v>309303</v>
      </c>
    </row>
    <row r="122" spans="1:7">
      <c r="A122" s="45">
        <v>43257</v>
      </c>
      <c r="B122">
        <v>11.22</v>
      </c>
      <c r="C122">
        <v>11.26</v>
      </c>
      <c r="D122">
        <v>10.67</v>
      </c>
      <c r="E122">
        <v>10.76</v>
      </c>
      <c r="F122">
        <v>9.4376920000000002</v>
      </c>
      <c r="G122">
        <v>391983</v>
      </c>
    </row>
    <row r="123" spans="1:7">
      <c r="A123" s="45">
        <v>43258</v>
      </c>
      <c r="B123">
        <v>10.75</v>
      </c>
      <c r="C123">
        <v>11.04</v>
      </c>
      <c r="D123">
        <v>10.65</v>
      </c>
      <c r="E123">
        <v>10.87</v>
      </c>
      <c r="F123">
        <v>9.5341729999999991</v>
      </c>
      <c r="G123">
        <v>425885</v>
      </c>
    </row>
    <row r="124" spans="1:7">
      <c r="A124" s="45">
        <v>43259</v>
      </c>
      <c r="B124">
        <v>10.87</v>
      </c>
      <c r="C124">
        <v>10.87</v>
      </c>
      <c r="D124">
        <v>10.65</v>
      </c>
      <c r="E124">
        <v>10.72</v>
      </c>
      <c r="F124">
        <v>9.4026069999999997</v>
      </c>
      <c r="G124">
        <v>273686</v>
      </c>
    </row>
    <row r="125" spans="1:7">
      <c r="A125" s="45">
        <v>43262</v>
      </c>
      <c r="B125">
        <v>10.71</v>
      </c>
      <c r="C125">
        <v>10.83</v>
      </c>
      <c r="D125">
        <v>10.55</v>
      </c>
      <c r="E125">
        <v>10.76</v>
      </c>
      <c r="F125">
        <v>9.4376920000000002</v>
      </c>
      <c r="G125">
        <v>184746</v>
      </c>
    </row>
    <row r="126" spans="1:7">
      <c r="A126" s="45">
        <v>43263</v>
      </c>
      <c r="B126">
        <v>10.71</v>
      </c>
      <c r="C126">
        <v>11</v>
      </c>
      <c r="D126">
        <v>10.6</v>
      </c>
      <c r="E126">
        <v>10.6</v>
      </c>
      <c r="F126">
        <v>9.2973549999999996</v>
      </c>
      <c r="G126">
        <v>409550</v>
      </c>
    </row>
    <row r="127" spans="1:7">
      <c r="A127" s="45">
        <v>43264</v>
      </c>
      <c r="B127">
        <v>10.62</v>
      </c>
      <c r="C127">
        <v>10.66</v>
      </c>
      <c r="D127">
        <v>10.45</v>
      </c>
      <c r="E127">
        <v>10.45</v>
      </c>
      <c r="F127">
        <v>9.1657879999999992</v>
      </c>
      <c r="G127">
        <v>167090</v>
      </c>
    </row>
    <row r="128" spans="1:7">
      <c r="A128" s="45">
        <v>43265</v>
      </c>
      <c r="B128">
        <v>10.4</v>
      </c>
      <c r="C128">
        <v>10.69</v>
      </c>
      <c r="D128">
        <v>10.38</v>
      </c>
      <c r="E128">
        <v>10.61</v>
      </c>
      <c r="F128">
        <v>9.3061249999999998</v>
      </c>
      <c r="G128">
        <v>374327</v>
      </c>
    </row>
    <row r="129" spans="1:7">
      <c r="A129" s="45">
        <v>43266</v>
      </c>
      <c r="B129">
        <v>10.61</v>
      </c>
      <c r="C129">
        <v>10.61</v>
      </c>
      <c r="D129">
        <v>10.61</v>
      </c>
      <c r="E129">
        <v>10.61</v>
      </c>
      <c r="F129">
        <v>9.3061249999999998</v>
      </c>
      <c r="G129">
        <v>0</v>
      </c>
    </row>
    <row r="130" spans="1:7">
      <c r="A130" s="45">
        <v>43269</v>
      </c>
      <c r="B130">
        <v>10.66</v>
      </c>
      <c r="C130">
        <v>11.03</v>
      </c>
      <c r="D130">
        <v>10.58</v>
      </c>
      <c r="E130">
        <v>10.93</v>
      </c>
      <c r="F130">
        <v>9.5868009999999995</v>
      </c>
      <c r="G130">
        <v>374182</v>
      </c>
    </row>
    <row r="131" spans="1:7">
      <c r="A131" s="45">
        <v>43270</v>
      </c>
      <c r="B131">
        <v>11.02</v>
      </c>
      <c r="C131">
        <v>11.27</v>
      </c>
      <c r="D131">
        <v>10.86</v>
      </c>
      <c r="E131">
        <v>11.25</v>
      </c>
      <c r="F131">
        <v>9.8674750000000007</v>
      </c>
      <c r="G131">
        <v>278835</v>
      </c>
    </row>
    <row r="132" spans="1:7">
      <c r="A132" s="45">
        <v>43271</v>
      </c>
      <c r="B132">
        <v>11.39</v>
      </c>
      <c r="C132">
        <v>11.39</v>
      </c>
      <c r="D132">
        <v>10.91</v>
      </c>
      <c r="E132">
        <v>10.99</v>
      </c>
      <c r="F132">
        <v>9.6394260000000003</v>
      </c>
      <c r="G132">
        <v>195394</v>
      </c>
    </row>
    <row r="133" spans="1:7">
      <c r="A133" s="45">
        <v>43272</v>
      </c>
      <c r="B133">
        <v>11.14</v>
      </c>
      <c r="C133">
        <v>11.14</v>
      </c>
      <c r="D133">
        <v>10.94</v>
      </c>
      <c r="E133">
        <v>11.1</v>
      </c>
      <c r="F133">
        <v>9.7359089999999995</v>
      </c>
      <c r="G133">
        <v>250185</v>
      </c>
    </row>
    <row r="134" spans="1:7">
      <c r="A134" s="45">
        <v>43273</v>
      </c>
      <c r="B134">
        <v>11.1</v>
      </c>
      <c r="C134">
        <v>11.33</v>
      </c>
      <c r="D134">
        <v>10.92</v>
      </c>
      <c r="E134">
        <v>11.07</v>
      </c>
      <c r="F134">
        <v>9.7095950000000002</v>
      </c>
      <c r="G134">
        <v>275304</v>
      </c>
    </row>
    <row r="135" spans="1:7">
      <c r="A135" s="45">
        <v>43276</v>
      </c>
      <c r="B135">
        <v>11.43</v>
      </c>
      <c r="C135">
        <v>11.43</v>
      </c>
      <c r="D135">
        <v>10.85</v>
      </c>
      <c r="E135">
        <v>10.87</v>
      </c>
      <c r="F135">
        <v>9.5341729999999991</v>
      </c>
      <c r="G135">
        <v>383299</v>
      </c>
    </row>
    <row r="136" spans="1:7">
      <c r="A136" s="45">
        <v>43277</v>
      </c>
      <c r="B136">
        <v>10.85</v>
      </c>
      <c r="C136">
        <v>11.18</v>
      </c>
      <c r="D136">
        <v>10.85</v>
      </c>
      <c r="E136">
        <v>11.03</v>
      </c>
      <c r="F136">
        <v>9.6745110000000007</v>
      </c>
      <c r="G136">
        <v>105680</v>
      </c>
    </row>
    <row r="137" spans="1:7">
      <c r="A137" s="45">
        <v>43278</v>
      </c>
      <c r="B137">
        <v>11</v>
      </c>
      <c r="C137">
        <v>11.09</v>
      </c>
      <c r="D137">
        <v>10.95</v>
      </c>
      <c r="E137">
        <v>10.95</v>
      </c>
      <c r="F137">
        <v>9.6043420000000008</v>
      </c>
      <c r="G137">
        <v>298919</v>
      </c>
    </row>
    <row r="138" spans="1:7">
      <c r="A138" s="45">
        <v>43279</v>
      </c>
      <c r="B138">
        <v>10.98</v>
      </c>
      <c r="C138">
        <v>11.03</v>
      </c>
      <c r="D138">
        <v>10.89</v>
      </c>
      <c r="E138">
        <v>10.98</v>
      </c>
      <c r="F138">
        <v>9.6306550000000009</v>
      </c>
      <c r="G138">
        <v>300761</v>
      </c>
    </row>
    <row r="139" spans="1:7">
      <c r="A139" s="45">
        <v>43280</v>
      </c>
      <c r="B139">
        <v>10.99</v>
      </c>
      <c r="C139">
        <v>11.07</v>
      </c>
      <c r="D139">
        <v>10.88</v>
      </c>
      <c r="E139">
        <v>10.97</v>
      </c>
      <c r="F139">
        <v>9.6218839999999997</v>
      </c>
      <c r="G139">
        <v>254737</v>
      </c>
    </row>
    <row r="140" spans="1:7">
      <c r="A140" s="45">
        <v>43283</v>
      </c>
      <c r="B140">
        <v>10.94</v>
      </c>
      <c r="C140">
        <v>11.11</v>
      </c>
      <c r="D140">
        <v>10.94</v>
      </c>
      <c r="E140">
        <v>10.99</v>
      </c>
      <c r="F140">
        <v>9.6394260000000003</v>
      </c>
      <c r="G140">
        <v>389437</v>
      </c>
    </row>
    <row r="141" spans="1:7">
      <c r="A141" s="45">
        <v>43284</v>
      </c>
      <c r="B141">
        <v>11</v>
      </c>
      <c r="C141">
        <v>11.36</v>
      </c>
      <c r="D141">
        <v>10.97</v>
      </c>
      <c r="E141">
        <v>10.97</v>
      </c>
      <c r="F141">
        <v>9.6218839999999997</v>
      </c>
      <c r="G141">
        <v>421661</v>
      </c>
    </row>
    <row r="142" spans="1:7">
      <c r="A142" s="45">
        <v>43285</v>
      </c>
      <c r="B142">
        <v>11.02</v>
      </c>
      <c r="C142">
        <v>11.24</v>
      </c>
      <c r="D142">
        <v>10.93</v>
      </c>
      <c r="E142">
        <v>11.19</v>
      </c>
      <c r="F142">
        <v>9.8148479999999996</v>
      </c>
      <c r="G142">
        <v>152526</v>
      </c>
    </row>
    <row r="143" spans="1:7">
      <c r="A143" s="45">
        <v>43286</v>
      </c>
      <c r="B143">
        <v>11.21</v>
      </c>
      <c r="C143">
        <v>11.48</v>
      </c>
      <c r="D143">
        <v>11.21</v>
      </c>
      <c r="E143">
        <v>11.42</v>
      </c>
      <c r="F143">
        <v>10.016583000000001</v>
      </c>
      <c r="G143">
        <v>169305</v>
      </c>
    </row>
    <row r="144" spans="1:7">
      <c r="A144" s="45">
        <v>43287</v>
      </c>
      <c r="B144">
        <v>11.36</v>
      </c>
      <c r="C144">
        <v>11.51</v>
      </c>
      <c r="D144">
        <v>11.24</v>
      </c>
      <c r="E144">
        <v>11.36</v>
      </c>
      <c r="F144">
        <v>9.9639570000000006</v>
      </c>
      <c r="G144">
        <v>88957</v>
      </c>
    </row>
    <row r="145" spans="1:7">
      <c r="A145" s="45">
        <v>43290</v>
      </c>
      <c r="B145">
        <v>11.37</v>
      </c>
      <c r="C145">
        <v>11.47</v>
      </c>
      <c r="D145">
        <v>11.1</v>
      </c>
      <c r="E145">
        <v>11.29</v>
      </c>
      <c r="F145">
        <v>9.9025590000000001</v>
      </c>
      <c r="G145">
        <v>189218</v>
      </c>
    </row>
    <row r="146" spans="1:7">
      <c r="A146" s="45">
        <v>43291</v>
      </c>
      <c r="B146">
        <v>11.25</v>
      </c>
      <c r="C146">
        <v>11.28</v>
      </c>
      <c r="D146">
        <v>10.88</v>
      </c>
      <c r="E146">
        <v>10.92</v>
      </c>
      <c r="F146">
        <v>9.5780290000000008</v>
      </c>
      <c r="G146">
        <v>142093</v>
      </c>
    </row>
    <row r="147" spans="1:7">
      <c r="A147" s="45">
        <v>43292</v>
      </c>
      <c r="B147">
        <v>10.85</v>
      </c>
      <c r="C147">
        <v>10.86</v>
      </c>
      <c r="D147">
        <v>10.220000000000001</v>
      </c>
      <c r="E147">
        <v>10.220000000000001</v>
      </c>
      <c r="F147">
        <v>8.9640529999999998</v>
      </c>
      <c r="G147">
        <v>183111</v>
      </c>
    </row>
    <row r="148" spans="1:7">
      <c r="A148" s="45">
        <v>43293</v>
      </c>
      <c r="B148">
        <v>10.31</v>
      </c>
      <c r="C148">
        <v>10.33</v>
      </c>
      <c r="D148">
        <v>9.69</v>
      </c>
      <c r="E148">
        <v>9.85</v>
      </c>
      <c r="F148">
        <v>8.6395230000000005</v>
      </c>
      <c r="G148">
        <v>271393</v>
      </c>
    </row>
    <row r="149" spans="1:7">
      <c r="A149" s="45">
        <v>43294</v>
      </c>
      <c r="B149">
        <v>9.8800000000000008</v>
      </c>
      <c r="C149">
        <v>10</v>
      </c>
      <c r="D149">
        <v>9.81</v>
      </c>
      <c r="E149">
        <v>9.81</v>
      </c>
      <c r="F149">
        <v>8.6044389999999993</v>
      </c>
      <c r="G149">
        <v>116609</v>
      </c>
    </row>
    <row r="150" spans="1:7">
      <c r="A150" s="45">
        <v>43297</v>
      </c>
      <c r="B150">
        <v>9.8000000000000007</v>
      </c>
      <c r="C150">
        <v>9.9499999999999993</v>
      </c>
      <c r="D150">
        <v>9.6</v>
      </c>
      <c r="E150">
        <v>9.67</v>
      </c>
      <c r="F150">
        <v>8.481643</v>
      </c>
      <c r="G150">
        <v>239370</v>
      </c>
    </row>
    <row r="151" spans="1:7">
      <c r="A151" s="45">
        <v>43298</v>
      </c>
      <c r="B151">
        <v>9.75</v>
      </c>
      <c r="C151">
        <v>10.039999999999999</v>
      </c>
      <c r="D151">
        <v>9.74</v>
      </c>
      <c r="E151">
        <v>9.98</v>
      </c>
      <c r="F151">
        <v>8.753546</v>
      </c>
      <c r="G151">
        <v>118587</v>
      </c>
    </row>
    <row r="152" spans="1:7">
      <c r="A152" s="45">
        <v>43299</v>
      </c>
      <c r="B152">
        <v>10.039999999999999</v>
      </c>
      <c r="C152">
        <v>10.15</v>
      </c>
      <c r="D152">
        <v>9.74</v>
      </c>
      <c r="E152">
        <v>9.9700000000000006</v>
      </c>
      <c r="F152">
        <v>8.7447759999999999</v>
      </c>
      <c r="G152">
        <v>123801</v>
      </c>
    </row>
    <row r="153" spans="1:7">
      <c r="A153" s="45">
        <v>43300</v>
      </c>
      <c r="B153">
        <v>10.09</v>
      </c>
      <c r="C153">
        <v>10.25</v>
      </c>
      <c r="D153">
        <v>9.92</v>
      </c>
      <c r="E153">
        <v>10.23</v>
      </c>
      <c r="F153">
        <v>8.972823</v>
      </c>
      <c r="G153">
        <v>142879</v>
      </c>
    </row>
    <row r="154" spans="1:7">
      <c r="A154" s="45">
        <v>43301</v>
      </c>
      <c r="B154">
        <v>10.11</v>
      </c>
      <c r="C154">
        <v>10.3</v>
      </c>
      <c r="D154">
        <v>10.1</v>
      </c>
      <c r="E154">
        <v>10.199999999999999</v>
      </c>
      <c r="F154">
        <v>8.94651</v>
      </c>
      <c r="G154">
        <v>92294</v>
      </c>
    </row>
    <row r="155" spans="1:7">
      <c r="A155" s="45">
        <v>43304</v>
      </c>
      <c r="B155">
        <v>10.31</v>
      </c>
      <c r="C155">
        <v>10.57</v>
      </c>
      <c r="D155">
        <v>10.31</v>
      </c>
      <c r="E155">
        <v>10.4</v>
      </c>
      <c r="F155">
        <v>9.1219319999999993</v>
      </c>
      <c r="G155">
        <v>115781</v>
      </c>
    </row>
    <row r="156" spans="1:7">
      <c r="A156" s="45">
        <v>43305</v>
      </c>
      <c r="B156">
        <v>10.49</v>
      </c>
      <c r="C156">
        <v>10.49</v>
      </c>
      <c r="D156">
        <v>9.9600000000000009</v>
      </c>
      <c r="E156">
        <v>10.029999999999999</v>
      </c>
      <c r="F156">
        <v>8.7974010000000007</v>
      </c>
      <c r="G156">
        <v>202125</v>
      </c>
    </row>
    <row r="157" spans="1:7">
      <c r="A157" s="45">
        <v>43306</v>
      </c>
      <c r="B157">
        <v>10.130000000000001</v>
      </c>
      <c r="C157">
        <v>10.25</v>
      </c>
      <c r="D157">
        <v>10.02</v>
      </c>
      <c r="E157">
        <v>10.210000000000001</v>
      </c>
      <c r="F157">
        <v>8.9552809999999994</v>
      </c>
      <c r="G157">
        <v>128266</v>
      </c>
    </row>
    <row r="158" spans="1:7">
      <c r="A158" s="45">
        <v>43307</v>
      </c>
      <c r="B158">
        <v>10.28</v>
      </c>
      <c r="C158">
        <v>10.48</v>
      </c>
      <c r="D158">
        <v>10.19</v>
      </c>
      <c r="E158">
        <v>10.28</v>
      </c>
      <c r="F158">
        <v>9.0166789999999999</v>
      </c>
      <c r="G158">
        <v>159468</v>
      </c>
    </row>
    <row r="159" spans="1:7">
      <c r="A159" s="45">
        <v>43308</v>
      </c>
      <c r="B159">
        <v>10.31</v>
      </c>
      <c r="C159">
        <v>10.42</v>
      </c>
      <c r="D159">
        <v>10.28</v>
      </c>
      <c r="E159">
        <v>10.35</v>
      </c>
      <c r="F159">
        <v>9.0780770000000004</v>
      </c>
      <c r="G159">
        <v>68553</v>
      </c>
    </row>
    <row r="160" spans="1:7">
      <c r="A160" s="45">
        <v>43311</v>
      </c>
      <c r="B160">
        <v>10.39</v>
      </c>
      <c r="C160">
        <v>10.39</v>
      </c>
      <c r="D160">
        <v>10.220000000000001</v>
      </c>
      <c r="E160">
        <v>10.35</v>
      </c>
      <c r="F160">
        <v>9.0780770000000004</v>
      </c>
      <c r="G160">
        <v>55060</v>
      </c>
    </row>
    <row r="161" spans="1:7">
      <c r="A161" s="45">
        <v>43312</v>
      </c>
      <c r="B161">
        <v>10.35</v>
      </c>
      <c r="C161">
        <v>10.45</v>
      </c>
      <c r="D161">
        <v>10</v>
      </c>
      <c r="E161">
        <v>10.32</v>
      </c>
      <c r="F161">
        <v>9.0517640000000004</v>
      </c>
      <c r="G161">
        <v>334814</v>
      </c>
    </row>
    <row r="162" spans="1:7">
      <c r="A162" s="45">
        <v>43313</v>
      </c>
      <c r="B162">
        <v>10.37</v>
      </c>
      <c r="C162">
        <v>10.38</v>
      </c>
      <c r="D162">
        <v>10.1</v>
      </c>
      <c r="E162">
        <v>10.23</v>
      </c>
      <c r="F162">
        <v>8.972823</v>
      </c>
      <c r="G162">
        <v>193722</v>
      </c>
    </row>
    <row r="163" spans="1:7">
      <c r="A163" s="45">
        <v>43314</v>
      </c>
      <c r="B163">
        <v>10.01</v>
      </c>
      <c r="C163">
        <v>10.09</v>
      </c>
      <c r="D163">
        <v>9.92</v>
      </c>
      <c r="E163">
        <v>10.02</v>
      </c>
      <c r="F163">
        <v>8.7886310000000005</v>
      </c>
      <c r="G163">
        <v>175629</v>
      </c>
    </row>
    <row r="164" spans="1:7">
      <c r="A164" s="45">
        <v>43315</v>
      </c>
      <c r="B164">
        <v>9.9600000000000009</v>
      </c>
      <c r="C164">
        <v>10.25</v>
      </c>
      <c r="D164">
        <v>9.84</v>
      </c>
      <c r="E164">
        <v>10.130000000000001</v>
      </c>
      <c r="F164">
        <v>8.8851130000000005</v>
      </c>
      <c r="G164">
        <v>269025</v>
      </c>
    </row>
    <row r="165" spans="1:7">
      <c r="A165" s="45">
        <v>43318</v>
      </c>
      <c r="B165">
        <v>10.17</v>
      </c>
      <c r="C165">
        <v>10.210000000000001</v>
      </c>
      <c r="D165">
        <v>9.9</v>
      </c>
      <c r="E165">
        <v>10</v>
      </c>
      <c r="F165">
        <v>8.7710889999999999</v>
      </c>
      <c r="G165">
        <v>156290</v>
      </c>
    </row>
    <row r="166" spans="1:7">
      <c r="A166" s="45">
        <v>43319</v>
      </c>
      <c r="B166">
        <v>10.02</v>
      </c>
      <c r="C166">
        <v>10.23</v>
      </c>
      <c r="D166">
        <v>9.92</v>
      </c>
      <c r="E166">
        <v>10.09</v>
      </c>
      <c r="F166">
        <v>8.8500289999999993</v>
      </c>
      <c r="G166">
        <v>168976</v>
      </c>
    </row>
    <row r="167" spans="1:7">
      <c r="A167" s="45">
        <v>43320</v>
      </c>
      <c r="B167">
        <v>10.18</v>
      </c>
      <c r="C167">
        <v>10.199999999999999</v>
      </c>
      <c r="D167">
        <v>10.039999999999999</v>
      </c>
      <c r="E167">
        <v>10.06</v>
      </c>
      <c r="F167">
        <v>8.823715</v>
      </c>
      <c r="G167">
        <v>112270</v>
      </c>
    </row>
    <row r="168" spans="1:7">
      <c r="A168" s="45">
        <v>43321</v>
      </c>
      <c r="B168">
        <v>10</v>
      </c>
      <c r="C168">
        <v>10.18</v>
      </c>
      <c r="D168">
        <v>9.9700000000000006</v>
      </c>
      <c r="E168">
        <v>10.09</v>
      </c>
      <c r="F168">
        <v>8.8500289999999993</v>
      </c>
      <c r="G168">
        <v>115103</v>
      </c>
    </row>
    <row r="169" spans="1:7">
      <c r="A169" s="45">
        <v>43322</v>
      </c>
      <c r="B169">
        <v>10.15</v>
      </c>
      <c r="C169">
        <v>11.05</v>
      </c>
      <c r="D169">
        <v>10.01</v>
      </c>
      <c r="E169">
        <v>10.5</v>
      </c>
      <c r="F169">
        <v>9.2096429999999998</v>
      </c>
      <c r="G169">
        <v>867178</v>
      </c>
    </row>
    <row r="170" spans="1:7">
      <c r="A170" s="45">
        <v>43325</v>
      </c>
      <c r="B170">
        <v>10.5</v>
      </c>
      <c r="C170">
        <v>11.32</v>
      </c>
      <c r="D170">
        <v>9.8800000000000008</v>
      </c>
      <c r="E170">
        <v>11.26</v>
      </c>
      <c r="F170">
        <v>9.8762460000000001</v>
      </c>
      <c r="G170">
        <v>1064811</v>
      </c>
    </row>
    <row r="171" spans="1:7">
      <c r="A171" s="45">
        <v>43326</v>
      </c>
      <c r="B171">
        <v>11.5</v>
      </c>
      <c r="C171">
        <v>11.84</v>
      </c>
      <c r="D171">
        <v>11.18</v>
      </c>
      <c r="E171">
        <v>11.3</v>
      </c>
      <c r="F171">
        <v>9.9113299999999995</v>
      </c>
      <c r="G171">
        <v>716132</v>
      </c>
    </row>
    <row r="172" spans="1:7">
      <c r="A172" s="45">
        <v>43327</v>
      </c>
      <c r="B172">
        <v>11.3</v>
      </c>
      <c r="C172">
        <v>11.68</v>
      </c>
      <c r="D172">
        <v>10.79</v>
      </c>
      <c r="E172">
        <v>11.03</v>
      </c>
      <c r="F172">
        <v>9.6745110000000007</v>
      </c>
      <c r="G172">
        <v>501718</v>
      </c>
    </row>
    <row r="173" spans="1:7">
      <c r="A173" s="45">
        <v>43328</v>
      </c>
      <c r="B173">
        <v>11.39</v>
      </c>
      <c r="C173">
        <v>11.82</v>
      </c>
      <c r="D173">
        <v>11.01</v>
      </c>
      <c r="E173">
        <v>11.74</v>
      </c>
      <c r="F173">
        <v>10.297257999999999</v>
      </c>
      <c r="G173">
        <v>934311</v>
      </c>
    </row>
    <row r="174" spans="1:7">
      <c r="A174" s="45">
        <v>43329</v>
      </c>
      <c r="B174">
        <v>11.75</v>
      </c>
      <c r="C174">
        <v>12.08</v>
      </c>
      <c r="D174">
        <v>11.68</v>
      </c>
      <c r="E174">
        <v>12.04</v>
      </c>
      <c r="F174">
        <v>10.56039</v>
      </c>
      <c r="G174">
        <v>582595</v>
      </c>
    </row>
    <row r="175" spans="1:7">
      <c r="A175" s="45">
        <v>43332</v>
      </c>
      <c r="B175">
        <v>12</v>
      </c>
      <c r="C175">
        <v>12.14</v>
      </c>
      <c r="D175">
        <v>12</v>
      </c>
      <c r="E175">
        <v>12.08</v>
      </c>
      <c r="F175">
        <v>10.595475</v>
      </c>
      <c r="G175">
        <v>57067</v>
      </c>
    </row>
    <row r="176" spans="1:7">
      <c r="A176" s="45">
        <v>43333</v>
      </c>
      <c r="B176">
        <v>12.08</v>
      </c>
      <c r="C176">
        <v>12.08</v>
      </c>
      <c r="D176">
        <v>12.08</v>
      </c>
      <c r="E176">
        <v>12.08</v>
      </c>
      <c r="F176">
        <v>10.595475</v>
      </c>
      <c r="G176">
        <v>0</v>
      </c>
    </row>
    <row r="177" spans="1:7">
      <c r="A177" s="45">
        <v>43334</v>
      </c>
      <c r="B177">
        <v>12.08</v>
      </c>
      <c r="C177">
        <v>12.08</v>
      </c>
      <c r="D177">
        <v>12.08</v>
      </c>
      <c r="E177">
        <v>12.08</v>
      </c>
      <c r="F177">
        <v>10.595475</v>
      </c>
      <c r="G177">
        <v>0</v>
      </c>
    </row>
    <row r="178" spans="1:7">
      <c r="A178" s="45">
        <v>43335</v>
      </c>
      <c r="B178">
        <v>12.08</v>
      </c>
      <c r="C178">
        <v>12.08</v>
      </c>
      <c r="D178">
        <v>12.08</v>
      </c>
      <c r="E178">
        <v>12.08</v>
      </c>
      <c r="F178">
        <v>10.595475</v>
      </c>
      <c r="G178">
        <v>0</v>
      </c>
    </row>
    <row r="179" spans="1:7">
      <c r="A179" s="45">
        <v>43336</v>
      </c>
      <c r="B179">
        <v>12.08</v>
      </c>
      <c r="C179">
        <v>12.08</v>
      </c>
      <c r="D179">
        <v>12.08</v>
      </c>
      <c r="E179">
        <v>12.08</v>
      </c>
      <c r="F179">
        <v>10.595475</v>
      </c>
      <c r="G179">
        <v>0</v>
      </c>
    </row>
    <row r="180" spans="1:7">
      <c r="A180" s="45">
        <v>43339</v>
      </c>
      <c r="B180">
        <v>12.1</v>
      </c>
      <c r="C180">
        <v>12.14</v>
      </c>
      <c r="D180">
        <v>11.96</v>
      </c>
      <c r="E180">
        <v>12.05</v>
      </c>
      <c r="F180">
        <v>10.569162</v>
      </c>
      <c r="G180">
        <v>242876</v>
      </c>
    </row>
    <row r="181" spans="1:7">
      <c r="A181" s="45">
        <v>43340</v>
      </c>
      <c r="B181">
        <v>12.11</v>
      </c>
      <c r="C181">
        <v>12.2</v>
      </c>
      <c r="D181">
        <v>12.07</v>
      </c>
      <c r="E181">
        <v>12.14</v>
      </c>
      <c r="F181">
        <v>10.648102</v>
      </c>
      <c r="G181">
        <v>104968</v>
      </c>
    </row>
    <row r="182" spans="1:7">
      <c r="A182" s="45">
        <v>43341</v>
      </c>
      <c r="B182">
        <v>12.15</v>
      </c>
      <c r="C182">
        <v>12.25</v>
      </c>
      <c r="D182">
        <v>12</v>
      </c>
      <c r="E182">
        <v>12.05</v>
      </c>
      <c r="F182">
        <v>10.569162</v>
      </c>
      <c r="G182">
        <v>321905</v>
      </c>
    </row>
    <row r="183" spans="1:7">
      <c r="A183" s="45">
        <v>43342</v>
      </c>
      <c r="B183">
        <v>12.05</v>
      </c>
      <c r="C183">
        <v>12.05</v>
      </c>
      <c r="D183">
        <v>12.05</v>
      </c>
      <c r="E183">
        <v>12.05</v>
      </c>
      <c r="F183">
        <v>10.569162</v>
      </c>
      <c r="G183">
        <v>0</v>
      </c>
    </row>
    <row r="184" spans="1:7">
      <c r="A184" s="45">
        <v>43343</v>
      </c>
      <c r="B184">
        <v>12.05</v>
      </c>
      <c r="C184">
        <v>12.1</v>
      </c>
      <c r="D184">
        <v>11.99</v>
      </c>
      <c r="E184">
        <v>12</v>
      </c>
      <c r="F184">
        <v>10.525307</v>
      </c>
      <c r="G184">
        <v>245414</v>
      </c>
    </row>
    <row r="185" spans="1:7">
      <c r="A185" s="45">
        <v>43346</v>
      </c>
      <c r="B185">
        <v>11.99</v>
      </c>
      <c r="C185">
        <v>12.24</v>
      </c>
      <c r="D185">
        <v>11.99</v>
      </c>
      <c r="E185">
        <v>12.11</v>
      </c>
      <c r="F185">
        <v>10.621788</v>
      </c>
      <c r="G185">
        <v>140530</v>
      </c>
    </row>
    <row r="186" spans="1:7">
      <c r="A186" s="45">
        <v>43347</v>
      </c>
      <c r="B186">
        <v>12.16</v>
      </c>
      <c r="C186">
        <v>12.27</v>
      </c>
      <c r="D186">
        <v>11.99</v>
      </c>
      <c r="E186">
        <v>12.25</v>
      </c>
      <c r="F186">
        <v>10.744584</v>
      </c>
      <c r="G186">
        <v>533150</v>
      </c>
    </row>
    <row r="187" spans="1:7">
      <c r="A187" s="45">
        <v>43348</v>
      </c>
      <c r="B187">
        <v>12.25</v>
      </c>
      <c r="C187">
        <v>12.6</v>
      </c>
      <c r="D187">
        <v>12.25</v>
      </c>
      <c r="E187">
        <v>12.39</v>
      </c>
      <c r="F187">
        <v>10.867379</v>
      </c>
      <c r="G187">
        <v>302198</v>
      </c>
    </row>
    <row r="188" spans="1:7">
      <c r="A188" s="45">
        <v>43349</v>
      </c>
      <c r="B188">
        <v>12.48</v>
      </c>
      <c r="C188">
        <v>12.5</v>
      </c>
      <c r="D188">
        <v>12.26</v>
      </c>
      <c r="E188">
        <v>12.31</v>
      </c>
      <c r="F188">
        <v>10.797211000000001</v>
      </c>
      <c r="G188">
        <v>186838</v>
      </c>
    </row>
    <row r="189" spans="1:7">
      <c r="A189" s="45">
        <v>43350</v>
      </c>
      <c r="B189">
        <v>12.14</v>
      </c>
      <c r="C189">
        <v>12.39</v>
      </c>
      <c r="D189">
        <v>12.14</v>
      </c>
      <c r="E189">
        <v>12.21</v>
      </c>
      <c r="F189">
        <v>10.709498999999999</v>
      </c>
      <c r="G189">
        <v>74186</v>
      </c>
    </row>
    <row r="190" spans="1:7">
      <c r="A190" s="45">
        <v>43353</v>
      </c>
      <c r="B190">
        <v>12.21</v>
      </c>
      <c r="C190">
        <v>12.27</v>
      </c>
      <c r="D190">
        <v>11.99</v>
      </c>
      <c r="E190">
        <v>12</v>
      </c>
      <c r="F190">
        <v>10.525307</v>
      </c>
      <c r="G190">
        <v>728659</v>
      </c>
    </row>
    <row r="191" spans="1:7">
      <c r="A191" s="45">
        <v>43354</v>
      </c>
      <c r="B191">
        <v>12.01</v>
      </c>
      <c r="C191">
        <v>12.17</v>
      </c>
      <c r="D191">
        <v>12</v>
      </c>
      <c r="E191">
        <v>12.07</v>
      </c>
      <c r="F191">
        <v>10.586703999999999</v>
      </c>
      <c r="G191">
        <v>109926</v>
      </c>
    </row>
    <row r="192" spans="1:7">
      <c r="A192" s="45">
        <v>43355</v>
      </c>
      <c r="B192">
        <v>12.12</v>
      </c>
      <c r="C192">
        <v>12.54</v>
      </c>
      <c r="D192">
        <v>12.11</v>
      </c>
      <c r="E192">
        <v>12.45</v>
      </c>
      <c r="F192">
        <v>10.920005</v>
      </c>
      <c r="G192">
        <v>641875</v>
      </c>
    </row>
    <row r="193" spans="1:7">
      <c r="A193" s="45">
        <v>43356</v>
      </c>
      <c r="B193">
        <v>12.54</v>
      </c>
      <c r="C193">
        <v>12.6</v>
      </c>
      <c r="D193">
        <v>12.4</v>
      </c>
      <c r="E193">
        <v>12.42</v>
      </c>
      <c r="F193">
        <v>10.893692</v>
      </c>
      <c r="G193">
        <v>190643</v>
      </c>
    </row>
    <row r="194" spans="1:7">
      <c r="A194" s="45">
        <v>43357</v>
      </c>
      <c r="B194">
        <v>12.66</v>
      </c>
      <c r="C194">
        <v>12.66</v>
      </c>
      <c r="D194">
        <v>12.38</v>
      </c>
      <c r="E194">
        <v>12.43</v>
      </c>
      <c r="F194">
        <v>10.902464</v>
      </c>
      <c r="G194">
        <v>153326</v>
      </c>
    </row>
    <row r="195" spans="1:7">
      <c r="A195" s="45">
        <v>43360</v>
      </c>
      <c r="B195">
        <v>12.48</v>
      </c>
      <c r="C195">
        <v>12.63</v>
      </c>
      <c r="D195">
        <v>12.33</v>
      </c>
      <c r="E195">
        <v>12.43</v>
      </c>
      <c r="F195">
        <v>10.902464</v>
      </c>
      <c r="G195">
        <v>92870</v>
      </c>
    </row>
    <row r="196" spans="1:7">
      <c r="A196" s="45">
        <v>43361</v>
      </c>
      <c r="B196">
        <v>12.46</v>
      </c>
      <c r="C196">
        <v>12.48</v>
      </c>
      <c r="D196">
        <v>12.31</v>
      </c>
      <c r="E196">
        <v>12.42</v>
      </c>
      <c r="F196">
        <v>10.893692</v>
      </c>
      <c r="G196">
        <v>132879</v>
      </c>
    </row>
    <row r="197" spans="1:7">
      <c r="A197" s="45">
        <v>43362</v>
      </c>
      <c r="B197">
        <v>12.47</v>
      </c>
      <c r="C197">
        <v>12.59</v>
      </c>
      <c r="D197">
        <v>12.43</v>
      </c>
      <c r="E197">
        <v>12.59</v>
      </c>
      <c r="F197">
        <v>11.042801000000001</v>
      </c>
      <c r="G197">
        <v>135783</v>
      </c>
    </row>
    <row r="198" spans="1:7">
      <c r="A198" s="45">
        <v>43363</v>
      </c>
      <c r="B198">
        <v>12.59</v>
      </c>
      <c r="C198">
        <v>12.69</v>
      </c>
      <c r="D198">
        <v>12.18</v>
      </c>
      <c r="E198">
        <v>12.2</v>
      </c>
      <c r="F198">
        <v>10.700728</v>
      </c>
      <c r="G198">
        <v>255184</v>
      </c>
    </row>
    <row r="199" spans="1:7">
      <c r="A199" s="45">
        <v>43364</v>
      </c>
      <c r="B199">
        <v>12.14</v>
      </c>
      <c r="C199">
        <v>12.37</v>
      </c>
      <c r="D199">
        <v>12.14</v>
      </c>
      <c r="E199">
        <v>12.25</v>
      </c>
      <c r="F199">
        <v>10.744584</v>
      </c>
      <c r="G199">
        <v>315052</v>
      </c>
    </row>
    <row r="200" spans="1:7">
      <c r="A200" s="45">
        <v>43367</v>
      </c>
      <c r="B200">
        <v>12.17</v>
      </c>
      <c r="C200">
        <v>12.48</v>
      </c>
      <c r="D200">
        <v>12.17</v>
      </c>
      <c r="E200">
        <v>12.48</v>
      </c>
      <c r="F200">
        <v>10.946319000000001</v>
      </c>
      <c r="G200">
        <v>166399</v>
      </c>
    </row>
    <row r="201" spans="1:7">
      <c r="A201" s="45">
        <v>43368</v>
      </c>
      <c r="B201">
        <v>12.48</v>
      </c>
      <c r="C201">
        <v>12.9</v>
      </c>
      <c r="D201">
        <v>12.35</v>
      </c>
      <c r="E201">
        <v>12.74</v>
      </c>
      <c r="F201">
        <v>11.174367</v>
      </c>
      <c r="G201">
        <v>245881</v>
      </c>
    </row>
    <row r="202" spans="1:7">
      <c r="A202" s="45">
        <v>43369</v>
      </c>
      <c r="B202">
        <v>12.74</v>
      </c>
      <c r="C202">
        <v>12.74</v>
      </c>
      <c r="D202">
        <v>12.49</v>
      </c>
      <c r="E202">
        <v>12.64</v>
      </c>
      <c r="F202">
        <v>11.086657000000001</v>
      </c>
      <c r="G202">
        <v>98319</v>
      </c>
    </row>
    <row r="203" spans="1:7">
      <c r="A203" s="45">
        <v>43370</v>
      </c>
      <c r="B203">
        <v>12.48</v>
      </c>
      <c r="C203">
        <v>12.6</v>
      </c>
      <c r="D203">
        <v>12.37</v>
      </c>
      <c r="E203">
        <v>12.56</v>
      </c>
      <c r="F203">
        <v>11.016488000000001</v>
      </c>
      <c r="G203">
        <v>265981</v>
      </c>
    </row>
    <row r="204" spans="1:7">
      <c r="A204" s="45">
        <v>43371</v>
      </c>
      <c r="B204">
        <v>12.4</v>
      </c>
      <c r="C204">
        <v>12.48</v>
      </c>
      <c r="D204">
        <v>12.28</v>
      </c>
      <c r="E204">
        <v>12.48</v>
      </c>
      <c r="F204">
        <v>10.946319000000001</v>
      </c>
      <c r="G204">
        <v>119667</v>
      </c>
    </row>
    <row r="205" spans="1:7">
      <c r="A205" s="45">
        <v>43374</v>
      </c>
      <c r="B205">
        <v>12.26</v>
      </c>
      <c r="C205">
        <v>12.74</v>
      </c>
      <c r="D205">
        <v>12.21</v>
      </c>
      <c r="E205">
        <v>12.6</v>
      </c>
      <c r="F205">
        <v>11.051572</v>
      </c>
      <c r="G205">
        <v>288659</v>
      </c>
    </row>
    <row r="206" spans="1:7">
      <c r="A206" s="45">
        <v>43375</v>
      </c>
      <c r="B206">
        <v>12.33</v>
      </c>
      <c r="C206">
        <v>12.7</v>
      </c>
      <c r="D206">
        <v>12.33</v>
      </c>
      <c r="E206">
        <v>12.52</v>
      </c>
      <c r="F206">
        <v>10.981403</v>
      </c>
      <c r="G206">
        <v>241470</v>
      </c>
    </row>
    <row r="207" spans="1:7">
      <c r="A207" s="45">
        <v>43376</v>
      </c>
      <c r="B207">
        <v>12.54</v>
      </c>
      <c r="C207">
        <v>12.6</v>
      </c>
      <c r="D207">
        <v>12.46</v>
      </c>
      <c r="E207">
        <v>12.53</v>
      </c>
      <c r="F207">
        <v>10.990174</v>
      </c>
      <c r="G207">
        <v>161359</v>
      </c>
    </row>
    <row r="208" spans="1:7">
      <c r="A208" s="45">
        <v>43377</v>
      </c>
      <c r="B208">
        <v>12.54</v>
      </c>
      <c r="C208">
        <v>12.54</v>
      </c>
      <c r="D208">
        <v>12.01</v>
      </c>
      <c r="E208">
        <v>12.05</v>
      </c>
      <c r="F208">
        <v>10.569162</v>
      </c>
      <c r="G208">
        <v>155527</v>
      </c>
    </row>
    <row r="209" spans="1:7">
      <c r="A209" s="45">
        <v>43378</v>
      </c>
      <c r="B209">
        <v>12.05</v>
      </c>
      <c r="C209">
        <v>12.28</v>
      </c>
      <c r="D209">
        <v>12</v>
      </c>
      <c r="E209">
        <v>12.17</v>
      </c>
      <c r="F209">
        <v>10.674415</v>
      </c>
      <c r="G209">
        <v>275418</v>
      </c>
    </row>
    <row r="210" spans="1:7">
      <c r="A210" s="45">
        <v>43381</v>
      </c>
      <c r="B210">
        <v>12.15</v>
      </c>
      <c r="C210">
        <v>12.24</v>
      </c>
      <c r="D210">
        <v>12.15</v>
      </c>
      <c r="E210">
        <v>12.15</v>
      </c>
      <c r="F210">
        <v>10.656872999999999</v>
      </c>
      <c r="G210">
        <v>212003</v>
      </c>
    </row>
    <row r="211" spans="1:7">
      <c r="A211" s="45">
        <v>43382</v>
      </c>
      <c r="B211">
        <v>12.18</v>
      </c>
      <c r="C211">
        <v>12.38</v>
      </c>
      <c r="D211">
        <v>12.15</v>
      </c>
      <c r="E211">
        <v>12.3</v>
      </c>
      <c r="F211">
        <v>10.78844</v>
      </c>
      <c r="G211">
        <v>348948</v>
      </c>
    </row>
    <row r="212" spans="1:7">
      <c r="A212" s="45">
        <v>43383</v>
      </c>
      <c r="B212">
        <v>12.3</v>
      </c>
      <c r="C212">
        <v>12.4</v>
      </c>
      <c r="D212">
        <v>12.15</v>
      </c>
      <c r="E212">
        <v>12.15</v>
      </c>
      <c r="F212">
        <v>10.656872999999999</v>
      </c>
      <c r="G212">
        <v>350258</v>
      </c>
    </row>
    <row r="213" spans="1:7">
      <c r="A213" s="45">
        <v>43384</v>
      </c>
      <c r="B213">
        <v>12.2</v>
      </c>
      <c r="C213">
        <v>12.42</v>
      </c>
      <c r="D213">
        <v>12.09</v>
      </c>
      <c r="E213">
        <v>12.37</v>
      </c>
      <c r="F213">
        <v>10.849836</v>
      </c>
      <c r="G213">
        <v>200210</v>
      </c>
    </row>
    <row r="214" spans="1:7">
      <c r="A214" s="45">
        <v>43385</v>
      </c>
      <c r="B214">
        <v>12.35</v>
      </c>
      <c r="C214">
        <v>12.56</v>
      </c>
      <c r="D214">
        <v>12.3</v>
      </c>
      <c r="E214">
        <v>12.55</v>
      </c>
      <c r="F214">
        <v>11.007716</v>
      </c>
      <c r="G214">
        <v>307608</v>
      </c>
    </row>
    <row r="215" spans="1:7">
      <c r="A215" s="45">
        <v>43388</v>
      </c>
      <c r="B215">
        <v>12.57</v>
      </c>
      <c r="C215">
        <v>13.15</v>
      </c>
      <c r="D215">
        <v>12.57</v>
      </c>
      <c r="E215">
        <v>13</v>
      </c>
      <c r="F215">
        <v>11.402415</v>
      </c>
      <c r="G215">
        <v>804267</v>
      </c>
    </row>
    <row r="216" spans="1:7">
      <c r="A216" s="45">
        <v>43389</v>
      </c>
      <c r="B216">
        <v>12.93</v>
      </c>
      <c r="C216">
        <v>13.35</v>
      </c>
      <c r="D216">
        <v>12.9</v>
      </c>
      <c r="E216">
        <v>13.19</v>
      </c>
      <c r="F216">
        <v>11.569065999999999</v>
      </c>
      <c r="G216">
        <v>531826</v>
      </c>
    </row>
    <row r="217" spans="1:7">
      <c r="A217" s="45">
        <v>43390</v>
      </c>
      <c r="B217">
        <v>13.31</v>
      </c>
      <c r="C217">
        <v>13.51</v>
      </c>
      <c r="D217">
        <v>13.24</v>
      </c>
      <c r="E217">
        <v>13.4</v>
      </c>
      <c r="F217">
        <v>11.753259</v>
      </c>
      <c r="G217">
        <v>479035</v>
      </c>
    </row>
    <row r="218" spans="1:7">
      <c r="A218" s="45">
        <v>43391</v>
      </c>
      <c r="B218">
        <v>13.31</v>
      </c>
      <c r="C218">
        <v>13.44</v>
      </c>
      <c r="D218">
        <v>13.13</v>
      </c>
      <c r="E218">
        <v>13.28</v>
      </c>
      <c r="F218">
        <v>11.648004999999999</v>
      </c>
      <c r="G218">
        <v>274070</v>
      </c>
    </row>
    <row r="219" spans="1:7">
      <c r="A219" s="45">
        <v>43392</v>
      </c>
      <c r="B219">
        <v>13.33</v>
      </c>
      <c r="C219">
        <v>13.38</v>
      </c>
      <c r="D219">
        <v>12.74</v>
      </c>
      <c r="E219">
        <v>12.75</v>
      </c>
      <c r="F219">
        <v>11.183138</v>
      </c>
      <c r="G219">
        <v>479122</v>
      </c>
    </row>
    <row r="220" spans="1:7">
      <c r="A220" s="45">
        <v>43395</v>
      </c>
      <c r="B220">
        <v>12.75</v>
      </c>
      <c r="C220">
        <v>12.75</v>
      </c>
      <c r="D220">
        <v>12.45</v>
      </c>
      <c r="E220">
        <v>12.49</v>
      </c>
      <c r="F220">
        <v>10.95509</v>
      </c>
      <c r="G220">
        <v>154849</v>
      </c>
    </row>
    <row r="221" spans="1:7">
      <c r="A221" s="45">
        <v>43396</v>
      </c>
      <c r="B221">
        <v>12.46</v>
      </c>
      <c r="C221">
        <v>12.76</v>
      </c>
      <c r="D221">
        <v>11.96</v>
      </c>
      <c r="E221">
        <v>12.69</v>
      </c>
      <c r="F221">
        <v>11.130511</v>
      </c>
      <c r="G221">
        <v>270839</v>
      </c>
    </row>
    <row r="222" spans="1:7">
      <c r="A222" s="45">
        <v>43397</v>
      </c>
      <c r="B222">
        <v>12.76</v>
      </c>
      <c r="C222">
        <v>12.95</v>
      </c>
      <c r="D222">
        <v>12.58</v>
      </c>
      <c r="E222">
        <v>12.61</v>
      </c>
      <c r="F222">
        <v>11.060343</v>
      </c>
      <c r="G222">
        <v>61489</v>
      </c>
    </row>
    <row r="223" spans="1:7">
      <c r="A223" s="45">
        <v>43398</v>
      </c>
      <c r="B223">
        <v>12.88</v>
      </c>
      <c r="C223">
        <v>12.88</v>
      </c>
      <c r="D223">
        <v>12.35</v>
      </c>
      <c r="E223">
        <v>12.42</v>
      </c>
      <c r="F223">
        <v>10.893692</v>
      </c>
      <c r="G223">
        <v>298179</v>
      </c>
    </row>
    <row r="224" spans="1:7">
      <c r="A224" s="45">
        <v>43399</v>
      </c>
      <c r="B224">
        <v>12.36</v>
      </c>
      <c r="C224">
        <v>12.48</v>
      </c>
      <c r="D224">
        <v>12.05</v>
      </c>
      <c r="E224">
        <v>12.08</v>
      </c>
      <c r="F224">
        <v>10.595475</v>
      </c>
      <c r="G224">
        <v>97886</v>
      </c>
    </row>
    <row r="225" spans="1:7">
      <c r="A225" s="45">
        <v>43402</v>
      </c>
      <c r="B225">
        <v>12.08</v>
      </c>
      <c r="C225">
        <v>12.08</v>
      </c>
      <c r="D225">
        <v>12.08</v>
      </c>
      <c r="E225">
        <v>12.08</v>
      </c>
      <c r="F225">
        <v>10.595475</v>
      </c>
      <c r="G225">
        <v>0</v>
      </c>
    </row>
    <row r="226" spans="1:7">
      <c r="A226" s="45">
        <v>43403</v>
      </c>
      <c r="B226">
        <v>12.05</v>
      </c>
      <c r="C226">
        <v>12.2</v>
      </c>
      <c r="D226">
        <v>11.72</v>
      </c>
      <c r="E226">
        <v>12.11</v>
      </c>
      <c r="F226">
        <v>10.621788</v>
      </c>
      <c r="G226">
        <v>174409</v>
      </c>
    </row>
    <row r="227" spans="1:7">
      <c r="A227" s="45">
        <v>43404</v>
      </c>
      <c r="B227">
        <v>12.14</v>
      </c>
      <c r="C227">
        <v>12.28</v>
      </c>
      <c r="D227">
        <v>12.03</v>
      </c>
      <c r="E227">
        <v>12.06</v>
      </c>
      <c r="F227">
        <v>10.577933</v>
      </c>
      <c r="G227">
        <v>99050</v>
      </c>
    </row>
    <row r="228" spans="1:7">
      <c r="A228" s="45">
        <v>43405</v>
      </c>
      <c r="B228">
        <v>12.16</v>
      </c>
      <c r="C228">
        <v>12.24</v>
      </c>
      <c r="D228">
        <v>12</v>
      </c>
      <c r="E228">
        <v>12.12</v>
      </c>
      <c r="F228">
        <v>10.630559</v>
      </c>
      <c r="G228">
        <v>89369</v>
      </c>
    </row>
    <row r="229" spans="1:7">
      <c r="A229" s="45">
        <v>43406</v>
      </c>
      <c r="B229">
        <v>12.2</v>
      </c>
      <c r="C229">
        <v>12.29</v>
      </c>
      <c r="D229">
        <v>12.12</v>
      </c>
      <c r="E229">
        <v>12.18</v>
      </c>
      <c r="F229">
        <v>10.683187</v>
      </c>
      <c r="G229">
        <v>100307</v>
      </c>
    </row>
    <row r="230" spans="1:7">
      <c r="A230" s="45">
        <v>43409</v>
      </c>
      <c r="B230">
        <v>12.15</v>
      </c>
      <c r="C230">
        <v>12.53</v>
      </c>
      <c r="D230">
        <v>12.1</v>
      </c>
      <c r="E230">
        <v>12.52</v>
      </c>
      <c r="F230">
        <v>10.981403</v>
      </c>
      <c r="G230">
        <v>373425</v>
      </c>
    </row>
    <row r="231" spans="1:7">
      <c r="A231" s="45">
        <v>43410</v>
      </c>
      <c r="B231">
        <v>12.49</v>
      </c>
      <c r="C231">
        <v>12.75</v>
      </c>
      <c r="D231">
        <v>12.39</v>
      </c>
      <c r="E231">
        <v>12.75</v>
      </c>
      <c r="F231">
        <v>11.183138</v>
      </c>
      <c r="G231">
        <v>266325</v>
      </c>
    </row>
    <row r="232" spans="1:7">
      <c r="A232" s="45">
        <v>43411</v>
      </c>
      <c r="B232">
        <v>12.75</v>
      </c>
      <c r="C232">
        <v>12.79</v>
      </c>
      <c r="D232">
        <v>12.61</v>
      </c>
      <c r="E232">
        <v>12.77</v>
      </c>
      <c r="F232">
        <v>11.200680999999999</v>
      </c>
      <c r="G232">
        <v>105573</v>
      </c>
    </row>
    <row r="233" spans="1:7">
      <c r="A233" s="45">
        <v>43412</v>
      </c>
      <c r="B233">
        <v>12.7</v>
      </c>
      <c r="C233">
        <v>12.7</v>
      </c>
      <c r="D233">
        <v>11.86</v>
      </c>
      <c r="E233">
        <v>12</v>
      </c>
      <c r="F233">
        <v>10.525307</v>
      </c>
      <c r="G233">
        <v>256546</v>
      </c>
    </row>
    <row r="234" spans="1:7">
      <c r="A234" s="45">
        <v>43413</v>
      </c>
      <c r="B234">
        <v>12.05</v>
      </c>
      <c r="C234">
        <v>12.2</v>
      </c>
      <c r="D234">
        <v>11.56</v>
      </c>
      <c r="E234">
        <v>11.74</v>
      </c>
      <c r="F234">
        <v>10.297257999999999</v>
      </c>
      <c r="G234">
        <v>142042</v>
      </c>
    </row>
    <row r="235" spans="1:7">
      <c r="A235" s="45">
        <v>43416</v>
      </c>
      <c r="B235">
        <v>11.83</v>
      </c>
      <c r="C235">
        <v>11.98</v>
      </c>
      <c r="D235">
        <v>11.53</v>
      </c>
      <c r="E235">
        <v>11.55</v>
      </c>
      <c r="F235">
        <v>10.130608000000001</v>
      </c>
      <c r="G235">
        <v>103725</v>
      </c>
    </row>
    <row r="236" spans="1:7">
      <c r="A236" s="45">
        <v>43417</v>
      </c>
      <c r="B236">
        <v>11.53</v>
      </c>
      <c r="C236">
        <v>11.63</v>
      </c>
      <c r="D236">
        <v>11.46</v>
      </c>
      <c r="E236">
        <v>11.52</v>
      </c>
      <c r="F236">
        <v>10.104295</v>
      </c>
      <c r="G236">
        <v>215291</v>
      </c>
    </row>
    <row r="237" spans="1:7">
      <c r="A237" s="45">
        <v>43418</v>
      </c>
      <c r="B237">
        <v>11.51</v>
      </c>
      <c r="C237">
        <v>11.61</v>
      </c>
      <c r="D237">
        <v>11.46</v>
      </c>
      <c r="E237">
        <v>11.48</v>
      </c>
      <c r="F237">
        <v>10.069209000000001</v>
      </c>
      <c r="G237">
        <v>198957</v>
      </c>
    </row>
    <row r="238" spans="1:7">
      <c r="A238" s="45">
        <v>43419</v>
      </c>
      <c r="B238">
        <v>11.51</v>
      </c>
      <c r="C238">
        <v>11.57</v>
      </c>
      <c r="D238">
        <v>11.46</v>
      </c>
      <c r="E238">
        <v>11.47</v>
      </c>
      <c r="F238">
        <v>10.060439000000001</v>
      </c>
      <c r="G238">
        <v>105761</v>
      </c>
    </row>
    <row r="239" spans="1:7">
      <c r="A239" s="45">
        <v>43420</v>
      </c>
      <c r="B239">
        <v>11.52</v>
      </c>
      <c r="C239">
        <v>11.62</v>
      </c>
      <c r="D239">
        <v>11.45</v>
      </c>
      <c r="E239">
        <v>11.52</v>
      </c>
      <c r="F239">
        <v>10.104295</v>
      </c>
      <c r="G239">
        <v>48090</v>
      </c>
    </row>
    <row r="240" spans="1:7">
      <c r="A240" s="45">
        <v>43423</v>
      </c>
      <c r="B240">
        <v>11.52</v>
      </c>
      <c r="C240">
        <v>11.64</v>
      </c>
      <c r="D240">
        <v>11.39</v>
      </c>
      <c r="E240">
        <v>11.48</v>
      </c>
      <c r="F240">
        <v>10.069209000000001</v>
      </c>
      <c r="G240">
        <v>189323</v>
      </c>
    </row>
    <row r="241" spans="1:7">
      <c r="A241" s="45">
        <v>43424</v>
      </c>
      <c r="B241">
        <v>11.51</v>
      </c>
      <c r="C241">
        <v>11.56</v>
      </c>
      <c r="D241">
        <v>11.2</v>
      </c>
      <c r="E241">
        <v>11.21</v>
      </c>
      <c r="F241">
        <v>9.8323909999999994</v>
      </c>
      <c r="G241">
        <v>177241</v>
      </c>
    </row>
    <row r="242" spans="1:7">
      <c r="A242" s="45">
        <v>43425</v>
      </c>
      <c r="B242">
        <v>11.29</v>
      </c>
      <c r="C242">
        <v>11.29</v>
      </c>
      <c r="D242">
        <v>11.2</v>
      </c>
      <c r="E242">
        <v>11.23</v>
      </c>
      <c r="F242">
        <v>9.849933</v>
      </c>
      <c r="G242">
        <v>159310</v>
      </c>
    </row>
    <row r="243" spans="1:7">
      <c r="A243" s="45">
        <v>43426</v>
      </c>
      <c r="B243">
        <v>11.22</v>
      </c>
      <c r="C243">
        <v>11.4</v>
      </c>
      <c r="D243">
        <v>11.14</v>
      </c>
      <c r="E243">
        <v>11.4</v>
      </c>
      <c r="F243">
        <v>9.9990410000000001</v>
      </c>
      <c r="G243">
        <v>199762</v>
      </c>
    </row>
    <row r="244" spans="1:7">
      <c r="A244" s="45">
        <v>43427</v>
      </c>
      <c r="B244">
        <v>11.4</v>
      </c>
      <c r="C244">
        <v>11.73</v>
      </c>
      <c r="D244">
        <v>11.4</v>
      </c>
      <c r="E244">
        <v>11.73</v>
      </c>
      <c r="F244">
        <v>10.288486000000001</v>
      </c>
      <c r="G244">
        <v>138347</v>
      </c>
    </row>
    <row r="245" spans="1:7">
      <c r="A245" s="45">
        <v>43430</v>
      </c>
      <c r="B245">
        <v>11.75</v>
      </c>
      <c r="C245">
        <v>12.08</v>
      </c>
      <c r="D245">
        <v>11.75</v>
      </c>
      <c r="E245">
        <v>11.78</v>
      </c>
      <c r="F245">
        <v>10.332342000000001</v>
      </c>
      <c r="G245">
        <v>141061</v>
      </c>
    </row>
    <row r="246" spans="1:7">
      <c r="A246" s="45">
        <v>43431</v>
      </c>
      <c r="B246">
        <v>11.8</v>
      </c>
      <c r="C246">
        <v>11.9</v>
      </c>
      <c r="D246">
        <v>11.74</v>
      </c>
      <c r="E246">
        <v>11.85</v>
      </c>
      <c r="F246">
        <v>10.393741</v>
      </c>
      <c r="G246">
        <v>47207</v>
      </c>
    </row>
    <row r="247" spans="1:7">
      <c r="A247" s="45">
        <v>43432</v>
      </c>
      <c r="B247">
        <v>11.8</v>
      </c>
      <c r="C247">
        <v>11.91</v>
      </c>
      <c r="D247">
        <v>11.73</v>
      </c>
      <c r="E247">
        <v>11.73</v>
      </c>
      <c r="F247">
        <v>10.288486000000001</v>
      </c>
      <c r="G247">
        <v>94996</v>
      </c>
    </row>
    <row r="248" spans="1:7">
      <c r="A248" s="45">
        <v>43433</v>
      </c>
      <c r="B248">
        <v>11.77</v>
      </c>
      <c r="C248">
        <v>11.9</v>
      </c>
      <c r="D248">
        <v>11.74</v>
      </c>
      <c r="E248">
        <v>11.88</v>
      </c>
      <c r="F248">
        <v>10.420052999999999</v>
      </c>
      <c r="G248">
        <v>101812</v>
      </c>
    </row>
    <row r="249" spans="1:7">
      <c r="A249" s="45">
        <v>43434</v>
      </c>
      <c r="B249">
        <v>11.83</v>
      </c>
      <c r="C249">
        <v>11.9</v>
      </c>
      <c r="D249">
        <v>11.78</v>
      </c>
      <c r="E249">
        <v>11.83</v>
      </c>
      <c r="F249">
        <v>10.376198</v>
      </c>
      <c r="G249">
        <v>112384</v>
      </c>
    </row>
    <row r="250" spans="1:7">
      <c r="A250" s="45">
        <v>43437</v>
      </c>
      <c r="B250">
        <v>11.71</v>
      </c>
      <c r="C250">
        <v>11.78</v>
      </c>
      <c r="D250">
        <v>11.57</v>
      </c>
      <c r="E250">
        <v>11.57</v>
      </c>
      <c r="F250">
        <v>10.148149</v>
      </c>
      <c r="G250">
        <v>105778</v>
      </c>
    </row>
    <row r="251" spans="1:7">
      <c r="A251" s="45">
        <v>43438</v>
      </c>
      <c r="B251">
        <v>11.57</v>
      </c>
      <c r="C251">
        <v>11.76</v>
      </c>
      <c r="D251">
        <v>11.54</v>
      </c>
      <c r="E251">
        <v>11.59</v>
      </c>
      <c r="F251">
        <v>10.165692</v>
      </c>
      <c r="G251">
        <v>86164</v>
      </c>
    </row>
    <row r="252" spans="1:7">
      <c r="A252" s="45">
        <v>43439</v>
      </c>
      <c r="B252">
        <v>11.59</v>
      </c>
      <c r="C252">
        <v>11.95</v>
      </c>
      <c r="D252">
        <v>11.57</v>
      </c>
      <c r="E252">
        <v>11.95</v>
      </c>
      <c r="F252">
        <v>10.481451</v>
      </c>
      <c r="G252">
        <v>246417</v>
      </c>
    </row>
    <row r="253" spans="1:7">
      <c r="A253" s="45">
        <v>43440</v>
      </c>
      <c r="B253">
        <v>11.94</v>
      </c>
      <c r="C253">
        <v>12.05</v>
      </c>
      <c r="D253">
        <v>11.75</v>
      </c>
      <c r="E253">
        <v>11.81</v>
      </c>
      <c r="F253">
        <v>10.358656</v>
      </c>
      <c r="G253">
        <v>59640</v>
      </c>
    </row>
    <row r="254" spans="1:7">
      <c r="A254" s="45">
        <v>43441</v>
      </c>
      <c r="B254">
        <v>11.85</v>
      </c>
      <c r="C254">
        <v>11.87</v>
      </c>
      <c r="D254">
        <v>11.7</v>
      </c>
      <c r="E254">
        <v>11.73</v>
      </c>
      <c r="F254">
        <v>10.288486000000001</v>
      </c>
      <c r="G254">
        <v>77343</v>
      </c>
    </row>
    <row r="255" spans="1:7">
      <c r="A255" s="45">
        <v>43444</v>
      </c>
      <c r="B255">
        <v>11.8</v>
      </c>
      <c r="C255">
        <v>11.86</v>
      </c>
      <c r="D255">
        <v>11.7</v>
      </c>
      <c r="E255">
        <v>11.74</v>
      </c>
      <c r="F255">
        <v>10.297257999999999</v>
      </c>
      <c r="G255">
        <v>101063</v>
      </c>
    </row>
    <row r="256" spans="1:7">
      <c r="A256" s="45">
        <v>43445</v>
      </c>
      <c r="B256">
        <v>11.81</v>
      </c>
      <c r="C256">
        <v>11.84</v>
      </c>
      <c r="D256">
        <v>11.69</v>
      </c>
      <c r="E256">
        <v>11.77</v>
      </c>
      <c r="F256">
        <v>10.323572</v>
      </c>
      <c r="G256">
        <v>68626</v>
      </c>
    </row>
    <row r="257" spans="1:7">
      <c r="A257" s="45">
        <v>43446</v>
      </c>
      <c r="B257">
        <v>11.69</v>
      </c>
      <c r="C257">
        <v>11.73</v>
      </c>
      <c r="D257">
        <v>11.48</v>
      </c>
      <c r="E257">
        <v>11.49</v>
      </c>
      <c r="F257">
        <v>10.077980999999999</v>
      </c>
      <c r="G257">
        <v>317994</v>
      </c>
    </row>
    <row r="258" spans="1:7">
      <c r="A258" s="45">
        <v>43447</v>
      </c>
      <c r="B258">
        <v>11.48</v>
      </c>
      <c r="C258">
        <v>11.67</v>
      </c>
      <c r="D258">
        <v>11.48</v>
      </c>
      <c r="E258">
        <v>11.56</v>
      </c>
      <c r="F258">
        <v>10.139379</v>
      </c>
      <c r="G258">
        <v>82526</v>
      </c>
    </row>
    <row r="259" spans="1:7">
      <c r="A259" s="45">
        <v>43448</v>
      </c>
      <c r="B259">
        <v>11.77</v>
      </c>
      <c r="C259">
        <v>11.77</v>
      </c>
      <c r="D259">
        <v>11.48</v>
      </c>
      <c r="E259">
        <v>11.48</v>
      </c>
      <c r="F259">
        <v>10.069209000000001</v>
      </c>
      <c r="G259">
        <v>58057</v>
      </c>
    </row>
    <row r="260" spans="1:7">
      <c r="A260" s="45">
        <v>43451</v>
      </c>
      <c r="B260">
        <v>11.56</v>
      </c>
      <c r="C260">
        <v>11.64</v>
      </c>
      <c r="D260">
        <v>11.48</v>
      </c>
      <c r="E260">
        <v>11.48</v>
      </c>
      <c r="F260">
        <v>10.069209000000001</v>
      </c>
      <c r="G260">
        <v>33656</v>
      </c>
    </row>
    <row r="261" spans="1:7">
      <c r="A261" s="45">
        <v>43452</v>
      </c>
      <c r="B261">
        <v>11.49</v>
      </c>
      <c r="C261">
        <v>11.6</v>
      </c>
      <c r="D261">
        <v>11.47</v>
      </c>
      <c r="E261">
        <v>11.53</v>
      </c>
      <c r="F261">
        <v>10.113065000000001</v>
      </c>
      <c r="G261">
        <v>577798</v>
      </c>
    </row>
    <row r="262" spans="1:7">
      <c r="A262" s="45">
        <v>43453</v>
      </c>
      <c r="B262">
        <v>11.49</v>
      </c>
      <c r="C262">
        <v>11.6</v>
      </c>
      <c r="D262">
        <v>11.49</v>
      </c>
      <c r="E262">
        <v>11.56</v>
      </c>
      <c r="F262">
        <v>10.139379</v>
      </c>
      <c r="G262">
        <v>84938</v>
      </c>
    </row>
    <row r="263" spans="1:7">
      <c r="A263" s="45">
        <v>43454</v>
      </c>
      <c r="B263">
        <v>11.52</v>
      </c>
      <c r="C263">
        <v>11.62</v>
      </c>
      <c r="D263">
        <v>11.49</v>
      </c>
      <c r="E263">
        <v>11.5</v>
      </c>
      <c r="F263">
        <v>10.086752000000001</v>
      </c>
      <c r="G263">
        <v>121923</v>
      </c>
    </row>
    <row r="264" spans="1:7">
      <c r="A264" s="45">
        <v>43455</v>
      </c>
      <c r="B264">
        <v>11.44</v>
      </c>
      <c r="C264">
        <v>11.55</v>
      </c>
      <c r="D264">
        <v>11.18</v>
      </c>
      <c r="E264">
        <v>11.32</v>
      </c>
      <c r="F264">
        <v>9.9288720000000001</v>
      </c>
      <c r="G264">
        <v>193625</v>
      </c>
    </row>
    <row r="265" spans="1:7">
      <c r="A265" s="45">
        <v>43458</v>
      </c>
      <c r="B265">
        <v>11.26</v>
      </c>
      <c r="C265">
        <v>11.52</v>
      </c>
      <c r="D265">
        <v>11.26</v>
      </c>
      <c r="E265">
        <v>11.39</v>
      </c>
      <c r="F265">
        <v>9.9902709999999999</v>
      </c>
      <c r="G265">
        <v>44764</v>
      </c>
    </row>
    <row r="266" spans="1:7">
      <c r="A266" s="45">
        <v>43459</v>
      </c>
      <c r="B266">
        <v>11.4</v>
      </c>
      <c r="C266">
        <v>11.48</v>
      </c>
      <c r="D266">
        <v>11.37</v>
      </c>
      <c r="E266">
        <v>11.38</v>
      </c>
      <c r="F266">
        <v>9.9814989999999995</v>
      </c>
      <c r="G266">
        <v>192901</v>
      </c>
    </row>
    <row r="267" spans="1:7">
      <c r="A267" s="45">
        <v>43460</v>
      </c>
      <c r="B267">
        <v>11.39</v>
      </c>
      <c r="C267">
        <v>11.45</v>
      </c>
      <c r="D267">
        <v>11.38</v>
      </c>
      <c r="E267">
        <v>11.45</v>
      </c>
      <c r="F267">
        <v>10.042896000000001</v>
      </c>
      <c r="G267">
        <v>14159</v>
      </c>
    </row>
    <row r="268" spans="1:7">
      <c r="A268" s="45">
        <v>43461</v>
      </c>
      <c r="B268">
        <v>11.47</v>
      </c>
      <c r="C268">
        <v>11.64</v>
      </c>
      <c r="D268">
        <v>11.47</v>
      </c>
      <c r="E268">
        <v>11.64</v>
      </c>
      <c r="F268">
        <v>10.209548</v>
      </c>
      <c r="G268">
        <v>116742</v>
      </c>
    </row>
    <row r="269" spans="1:7">
      <c r="A269" s="45">
        <v>43462</v>
      </c>
      <c r="B269">
        <v>11.65</v>
      </c>
      <c r="C269">
        <v>11.69</v>
      </c>
      <c r="D269">
        <v>11.41</v>
      </c>
      <c r="E269">
        <v>11.43</v>
      </c>
      <c r="F269">
        <v>10.025354</v>
      </c>
      <c r="G269">
        <v>18373</v>
      </c>
    </row>
    <row r="270" spans="1:7">
      <c r="A270" s="45">
        <v>43465</v>
      </c>
      <c r="B270">
        <v>11.5</v>
      </c>
      <c r="C270">
        <v>11.56</v>
      </c>
      <c r="D270">
        <v>11.42</v>
      </c>
      <c r="E270">
        <v>11.42</v>
      </c>
      <c r="F270">
        <v>10.016583000000001</v>
      </c>
      <c r="G270">
        <v>32431</v>
      </c>
    </row>
    <row r="271" spans="1:7">
      <c r="A271" s="45">
        <v>43466</v>
      </c>
      <c r="B271">
        <v>11.42</v>
      </c>
      <c r="C271">
        <v>11.42</v>
      </c>
      <c r="D271">
        <v>11.42</v>
      </c>
      <c r="E271">
        <v>11.42</v>
      </c>
      <c r="F271">
        <v>10.016583000000001</v>
      </c>
      <c r="G271">
        <v>0</v>
      </c>
    </row>
    <row r="272" spans="1:7">
      <c r="A272" s="45">
        <v>43467</v>
      </c>
      <c r="B272">
        <v>11.36</v>
      </c>
      <c r="C272">
        <v>11.45</v>
      </c>
      <c r="D272">
        <v>11.32</v>
      </c>
      <c r="E272">
        <v>11.35</v>
      </c>
      <c r="F272">
        <v>9.9551859999999994</v>
      </c>
      <c r="G272">
        <v>982933</v>
      </c>
    </row>
    <row r="273" spans="1:7">
      <c r="A273" s="45">
        <v>43468</v>
      </c>
      <c r="B273">
        <v>11.38</v>
      </c>
      <c r="C273">
        <v>11.42</v>
      </c>
      <c r="D273">
        <v>11.33</v>
      </c>
      <c r="E273">
        <v>11.34</v>
      </c>
      <c r="F273">
        <v>9.946415</v>
      </c>
      <c r="G273">
        <v>255754</v>
      </c>
    </row>
    <row r="274" spans="1:7">
      <c r="A274" s="45">
        <v>43469</v>
      </c>
      <c r="B274">
        <v>11.34</v>
      </c>
      <c r="C274">
        <v>11.45</v>
      </c>
      <c r="D274">
        <v>11.33</v>
      </c>
      <c r="E274">
        <v>11.45</v>
      </c>
      <c r="F274">
        <v>10.042896000000001</v>
      </c>
      <c r="G274">
        <v>314175</v>
      </c>
    </row>
    <row r="275" spans="1:7">
      <c r="A275" s="45">
        <v>43472</v>
      </c>
      <c r="B275">
        <v>11.45</v>
      </c>
      <c r="C275">
        <v>11.46</v>
      </c>
      <c r="D275">
        <v>11.34</v>
      </c>
      <c r="E275">
        <v>11.36</v>
      </c>
      <c r="F275">
        <v>9.9639570000000006</v>
      </c>
      <c r="G275">
        <v>39092</v>
      </c>
    </row>
    <row r="276" spans="1:7">
      <c r="A276" s="45">
        <v>43473</v>
      </c>
      <c r="B276">
        <v>11.4</v>
      </c>
      <c r="C276">
        <v>11.47</v>
      </c>
      <c r="D276">
        <v>11.34</v>
      </c>
      <c r="E276">
        <v>11.47</v>
      </c>
      <c r="F276">
        <v>10.060439000000001</v>
      </c>
      <c r="G276">
        <v>54140</v>
      </c>
    </row>
    <row r="277" spans="1:7">
      <c r="A277" s="45">
        <v>43474</v>
      </c>
      <c r="B277">
        <v>11.56</v>
      </c>
      <c r="C277">
        <v>11.71</v>
      </c>
      <c r="D277">
        <v>11.55</v>
      </c>
      <c r="E277">
        <v>11.68</v>
      </c>
      <c r="F277">
        <v>10.244631999999999</v>
      </c>
      <c r="G277">
        <v>242024</v>
      </c>
    </row>
    <row r="278" spans="1:7">
      <c r="A278" s="45">
        <v>43475</v>
      </c>
      <c r="B278">
        <v>11.69</v>
      </c>
      <c r="C278">
        <v>11.73</v>
      </c>
      <c r="D278">
        <v>11.68</v>
      </c>
      <c r="E278">
        <v>11.69</v>
      </c>
      <c r="F278">
        <v>10.253403</v>
      </c>
      <c r="G278">
        <v>16152</v>
      </c>
    </row>
    <row r="279" spans="1:7">
      <c r="A279" s="45">
        <v>43476</v>
      </c>
      <c r="B279">
        <v>11.69</v>
      </c>
      <c r="C279">
        <v>11.81</v>
      </c>
      <c r="D279">
        <v>11.68</v>
      </c>
      <c r="E279">
        <v>11.74</v>
      </c>
      <c r="F279">
        <v>10.297257999999999</v>
      </c>
      <c r="G279">
        <v>34021</v>
      </c>
    </row>
    <row r="280" spans="1:7">
      <c r="A280" s="45">
        <v>43479</v>
      </c>
      <c r="B280">
        <v>11.74</v>
      </c>
      <c r="C280">
        <v>11.8</v>
      </c>
      <c r="D280">
        <v>11.68</v>
      </c>
      <c r="E280">
        <v>11.78</v>
      </c>
      <c r="F280">
        <v>10.332342000000001</v>
      </c>
      <c r="G280">
        <v>71167</v>
      </c>
    </row>
    <row r="281" spans="1:7">
      <c r="A281" s="45">
        <v>43480</v>
      </c>
      <c r="B281">
        <v>11.8</v>
      </c>
      <c r="C281">
        <v>11.94</v>
      </c>
      <c r="D281">
        <v>11.68</v>
      </c>
      <c r="E281">
        <v>11.68</v>
      </c>
      <c r="F281">
        <v>10.244631999999999</v>
      </c>
      <c r="G281">
        <v>30488</v>
      </c>
    </row>
    <row r="282" spans="1:7">
      <c r="A282" s="45">
        <v>43481</v>
      </c>
      <c r="B282">
        <v>11.73</v>
      </c>
      <c r="C282">
        <v>11.8</v>
      </c>
      <c r="D282">
        <v>11.68</v>
      </c>
      <c r="E282">
        <v>11.68</v>
      </c>
      <c r="F282">
        <v>10.244631999999999</v>
      </c>
      <c r="G282">
        <v>56966</v>
      </c>
    </row>
    <row r="283" spans="1:7">
      <c r="A283" s="45">
        <v>43482</v>
      </c>
      <c r="B283">
        <v>11.68</v>
      </c>
      <c r="C283">
        <v>11.77</v>
      </c>
      <c r="D283">
        <v>11.67</v>
      </c>
      <c r="E283">
        <v>11.77</v>
      </c>
      <c r="F283">
        <v>10.323572</v>
      </c>
      <c r="G283">
        <v>48000</v>
      </c>
    </row>
    <row r="284" spans="1:7">
      <c r="A284" s="45">
        <v>43483</v>
      </c>
      <c r="B284">
        <v>11.75</v>
      </c>
      <c r="C284">
        <v>11.94</v>
      </c>
      <c r="D284">
        <v>11.75</v>
      </c>
      <c r="E284">
        <v>11.9</v>
      </c>
      <c r="F284">
        <v>10.437595</v>
      </c>
      <c r="G284">
        <v>71769</v>
      </c>
    </row>
    <row r="285" spans="1:7">
      <c r="A285" s="45">
        <v>43486</v>
      </c>
      <c r="B285">
        <v>11.91</v>
      </c>
      <c r="C285">
        <v>12.02</v>
      </c>
      <c r="D285">
        <v>11.87</v>
      </c>
      <c r="E285">
        <v>11.87</v>
      </c>
      <c r="F285">
        <v>10.411282999999999</v>
      </c>
      <c r="G285">
        <v>50727</v>
      </c>
    </row>
    <row r="286" spans="1:7">
      <c r="A286" s="45">
        <v>43487</v>
      </c>
      <c r="B286">
        <v>11.97</v>
      </c>
      <c r="C286">
        <v>11.97</v>
      </c>
      <c r="D286">
        <v>11.9</v>
      </c>
      <c r="E286">
        <v>11.91</v>
      </c>
      <c r="F286">
        <v>10.446365999999999</v>
      </c>
      <c r="G286">
        <v>23401</v>
      </c>
    </row>
    <row r="287" spans="1:7">
      <c r="A287" s="45">
        <v>43488</v>
      </c>
      <c r="B287">
        <v>11.99</v>
      </c>
      <c r="C287">
        <v>12.06</v>
      </c>
      <c r="D287">
        <v>11.91</v>
      </c>
      <c r="E287">
        <v>12.02</v>
      </c>
      <c r="F287">
        <v>10.542849</v>
      </c>
      <c r="G287">
        <v>58782</v>
      </c>
    </row>
    <row r="288" spans="1:7">
      <c r="A288" s="45">
        <v>43489</v>
      </c>
      <c r="B288">
        <v>12.05</v>
      </c>
      <c r="C288">
        <v>12.31</v>
      </c>
      <c r="D288">
        <v>12.05</v>
      </c>
      <c r="E288">
        <v>12.17</v>
      </c>
      <c r="F288">
        <v>10.674415</v>
      </c>
      <c r="G288">
        <v>202064</v>
      </c>
    </row>
    <row r="289" spans="1:7">
      <c r="A289" s="45">
        <v>43490</v>
      </c>
      <c r="B289">
        <v>12.26</v>
      </c>
      <c r="C289">
        <v>12.37</v>
      </c>
      <c r="D289">
        <v>12.25</v>
      </c>
      <c r="E289">
        <v>12.25</v>
      </c>
      <c r="F289">
        <v>10.744584</v>
      </c>
      <c r="G289">
        <v>140985</v>
      </c>
    </row>
    <row r="290" spans="1:7">
      <c r="A290" s="45">
        <v>43493</v>
      </c>
      <c r="B290">
        <v>12.25</v>
      </c>
      <c r="C290">
        <v>12.41</v>
      </c>
      <c r="D290">
        <v>12.18</v>
      </c>
      <c r="E290">
        <v>12.2</v>
      </c>
      <c r="F290">
        <v>10.700728</v>
      </c>
      <c r="G290">
        <v>56385</v>
      </c>
    </row>
    <row r="291" spans="1:7">
      <c r="A291" s="45">
        <v>43494</v>
      </c>
      <c r="B291">
        <v>12.28</v>
      </c>
      <c r="C291">
        <v>12.3</v>
      </c>
      <c r="D291">
        <v>12.08</v>
      </c>
      <c r="E291">
        <v>12.2</v>
      </c>
      <c r="F291">
        <v>10.700728</v>
      </c>
      <c r="G291">
        <v>152283</v>
      </c>
    </row>
    <row r="292" spans="1:7">
      <c r="A292" s="45">
        <v>43495</v>
      </c>
      <c r="B292">
        <v>12.17</v>
      </c>
      <c r="C292">
        <v>12.26</v>
      </c>
      <c r="D292">
        <v>12.1</v>
      </c>
      <c r="E292">
        <v>12.12</v>
      </c>
      <c r="F292">
        <v>10.630559</v>
      </c>
      <c r="G292">
        <v>96261</v>
      </c>
    </row>
    <row r="293" spans="1:7">
      <c r="A293" s="45">
        <v>43496</v>
      </c>
      <c r="B293">
        <v>12.14</v>
      </c>
      <c r="C293">
        <v>12.28</v>
      </c>
      <c r="D293">
        <v>12.14</v>
      </c>
      <c r="E293">
        <v>12.17</v>
      </c>
      <c r="F293">
        <v>10.674415</v>
      </c>
      <c r="G293">
        <v>157843</v>
      </c>
    </row>
    <row r="294" spans="1:7">
      <c r="A294" s="45">
        <v>43497</v>
      </c>
      <c r="B294">
        <v>12.19</v>
      </c>
      <c r="C294">
        <v>12.5</v>
      </c>
      <c r="D294">
        <v>12.15</v>
      </c>
      <c r="E294">
        <v>12.21</v>
      </c>
      <c r="F294">
        <v>10.709498999999999</v>
      </c>
      <c r="G294">
        <v>206792</v>
      </c>
    </row>
    <row r="295" spans="1:7">
      <c r="A295" s="45">
        <v>43500</v>
      </c>
      <c r="B295">
        <v>12.3</v>
      </c>
      <c r="C295">
        <v>12.31</v>
      </c>
      <c r="D295">
        <v>11.92</v>
      </c>
      <c r="E295">
        <v>11.92</v>
      </c>
      <c r="F295">
        <v>10.455138</v>
      </c>
      <c r="G295">
        <v>77626</v>
      </c>
    </row>
    <row r="296" spans="1:7">
      <c r="A296" s="45">
        <v>43501</v>
      </c>
      <c r="B296">
        <v>11.86</v>
      </c>
      <c r="C296">
        <v>12</v>
      </c>
      <c r="D296">
        <v>11.77</v>
      </c>
      <c r="E296">
        <v>11.82</v>
      </c>
      <c r="F296">
        <v>10.367426999999999</v>
      </c>
      <c r="G296">
        <v>105742</v>
      </c>
    </row>
    <row r="297" spans="1:7">
      <c r="A297" s="45">
        <v>43502</v>
      </c>
      <c r="B297">
        <v>11.84</v>
      </c>
      <c r="C297">
        <v>11.98</v>
      </c>
      <c r="D297">
        <v>11.84</v>
      </c>
      <c r="E297">
        <v>11.9</v>
      </c>
      <c r="F297">
        <v>10.437595</v>
      </c>
      <c r="G297">
        <v>65276</v>
      </c>
    </row>
    <row r="298" spans="1:7">
      <c r="A298" s="45">
        <v>43503</v>
      </c>
      <c r="B298">
        <v>11.91</v>
      </c>
      <c r="C298">
        <v>12.03</v>
      </c>
      <c r="D298">
        <v>11.91</v>
      </c>
      <c r="E298">
        <v>11.94</v>
      </c>
      <c r="F298">
        <v>10.472678999999999</v>
      </c>
      <c r="G298">
        <v>30813</v>
      </c>
    </row>
    <row r="299" spans="1:7">
      <c r="A299" s="45">
        <v>43504</v>
      </c>
      <c r="B299">
        <v>11.99</v>
      </c>
      <c r="C299">
        <v>11.99</v>
      </c>
      <c r="D299">
        <v>11.88</v>
      </c>
      <c r="E299">
        <v>11.9</v>
      </c>
      <c r="F299">
        <v>10.437595</v>
      </c>
      <c r="G299">
        <v>25186</v>
      </c>
    </row>
    <row r="300" spans="1:7">
      <c r="A300" s="45">
        <v>43507</v>
      </c>
      <c r="B300">
        <v>11.91</v>
      </c>
      <c r="C300">
        <v>12.1</v>
      </c>
      <c r="D300">
        <v>11.91</v>
      </c>
      <c r="E300">
        <v>12.02</v>
      </c>
      <c r="F300">
        <v>10.542849</v>
      </c>
      <c r="G300">
        <v>65115</v>
      </c>
    </row>
    <row r="301" spans="1:7">
      <c r="A301" s="45">
        <v>43508</v>
      </c>
      <c r="B301">
        <v>12.1</v>
      </c>
      <c r="C301">
        <v>12.15</v>
      </c>
      <c r="D301">
        <v>11.9</v>
      </c>
      <c r="E301">
        <v>11.93</v>
      </c>
      <c r="F301">
        <v>10.463908999999999</v>
      </c>
      <c r="G301">
        <v>79560</v>
      </c>
    </row>
    <row r="302" spans="1:7">
      <c r="A302" s="45">
        <v>43509</v>
      </c>
      <c r="B302">
        <v>11.97</v>
      </c>
      <c r="C302">
        <v>12.08</v>
      </c>
      <c r="D302">
        <v>11.87</v>
      </c>
      <c r="E302">
        <v>11.98</v>
      </c>
      <c r="F302">
        <v>10.507764</v>
      </c>
      <c r="G302">
        <v>122691</v>
      </c>
    </row>
    <row r="303" spans="1:7">
      <c r="A303" s="45">
        <v>43510</v>
      </c>
      <c r="B303">
        <v>11.7</v>
      </c>
      <c r="C303">
        <v>11.7</v>
      </c>
      <c r="D303">
        <v>11.28</v>
      </c>
      <c r="E303">
        <v>11.33</v>
      </c>
      <c r="F303">
        <v>9.9376429999999996</v>
      </c>
      <c r="G303">
        <v>283429</v>
      </c>
    </row>
    <row r="304" spans="1:7">
      <c r="A304" s="45">
        <v>43511</v>
      </c>
      <c r="B304">
        <v>11.37</v>
      </c>
      <c r="C304">
        <v>11.38</v>
      </c>
      <c r="D304">
        <v>10.86</v>
      </c>
      <c r="E304">
        <v>10.98</v>
      </c>
      <c r="F304">
        <v>9.6306550000000009</v>
      </c>
      <c r="G304">
        <v>329964</v>
      </c>
    </row>
    <row r="305" spans="1:7">
      <c r="A305" s="45">
        <v>43514</v>
      </c>
      <c r="B305">
        <v>10.96</v>
      </c>
      <c r="C305">
        <v>11.12</v>
      </c>
      <c r="D305">
        <v>10.95</v>
      </c>
      <c r="E305">
        <v>10.95</v>
      </c>
      <c r="F305">
        <v>9.6043420000000008</v>
      </c>
      <c r="G305">
        <v>159910</v>
      </c>
    </row>
    <row r="306" spans="1:7">
      <c r="A306" s="45">
        <v>43515</v>
      </c>
      <c r="B306">
        <v>10.96</v>
      </c>
      <c r="C306">
        <v>11.01</v>
      </c>
      <c r="D306">
        <v>10.86</v>
      </c>
      <c r="E306">
        <v>10.94</v>
      </c>
      <c r="F306">
        <v>9.5955709999999996</v>
      </c>
      <c r="G306">
        <v>60255</v>
      </c>
    </row>
    <row r="307" spans="1:7">
      <c r="A307" s="45">
        <v>43516</v>
      </c>
      <c r="B307">
        <v>11</v>
      </c>
      <c r="C307">
        <v>11.03</v>
      </c>
      <c r="D307">
        <v>10.65</v>
      </c>
      <c r="E307">
        <v>10.81</v>
      </c>
      <c r="F307">
        <v>9.4815470000000008</v>
      </c>
      <c r="G307">
        <v>369892</v>
      </c>
    </row>
    <row r="308" spans="1:7">
      <c r="A308" s="45">
        <v>43517</v>
      </c>
      <c r="B308">
        <v>10.83</v>
      </c>
      <c r="C308">
        <v>10.89</v>
      </c>
      <c r="D308">
        <v>10.47</v>
      </c>
      <c r="E308">
        <v>10.55</v>
      </c>
      <c r="F308">
        <v>9.2534989999999997</v>
      </c>
      <c r="G308">
        <v>1223784</v>
      </c>
    </row>
    <row r="309" spans="1:7">
      <c r="A309" s="45">
        <v>43518</v>
      </c>
      <c r="B309">
        <v>10.75</v>
      </c>
      <c r="C309">
        <v>11.35</v>
      </c>
      <c r="D309">
        <v>10.72</v>
      </c>
      <c r="E309">
        <v>11.17</v>
      </c>
      <c r="F309">
        <v>9.7973060000000007</v>
      </c>
      <c r="G309">
        <v>1257327</v>
      </c>
    </row>
    <row r="310" spans="1:7">
      <c r="A310" s="45">
        <v>43521</v>
      </c>
      <c r="B310">
        <v>11.3</v>
      </c>
      <c r="C310">
        <v>11.8</v>
      </c>
      <c r="D310">
        <v>11.3</v>
      </c>
      <c r="E310">
        <v>11.46</v>
      </c>
      <c r="F310">
        <v>10.051667999999999</v>
      </c>
      <c r="G310">
        <v>714827</v>
      </c>
    </row>
    <row r="311" spans="1:7">
      <c r="A311" s="45">
        <v>43522</v>
      </c>
      <c r="B311">
        <v>11.5</v>
      </c>
      <c r="C311">
        <v>11.6</v>
      </c>
      <c r="D311">
        <v>11.2</v>
      </c>
      <c r="E311">
        <v>11.49</v>
      </c>
      <c r="F311">
        <v>10.077980999999999</v>
      </c>
      <c r="G311">
        <v>410957</v>
      </c>
    </row>
    <row r="312" spans="1:7">
      <c r="A312" s="45">
        <v>43523</v>
      </c>
      <c r="B312">
        <v>11.5</v>
      </c>
      <c r="C312">
        <v>11.77</v>
      </c>
      <c r="D312">
        <v>11.49</v>
      </c>
      <c r="E312">
        <v>11.54</v>
      </c>
      <c r="F312">
        <v>10.121836999999999</v>
      </c>
      <c r="G312">
        <v>386541</v>
      </c>
    </row>
    <row r="313" spans="1:7">
      <c r="A313" s="45">
        <v>43524</v>
      </c>
      <c r="B313">
        <v>11.55</v>
      </c>
      <c r="C313">
        <v>11.63</v>
      </c>
      <c r="D313">
        <v>11.42</v>
      </c>
      <c r="E313">
        <v>11.51</v>
      </c>
      <c r="F313">
        <v>10.095523</v>
      </c>
      <c r="G313">
        <v>219300</v>
      </c>
    </row>
    <row r="314" spans="1:7">
      <c r="A314" s="45">
        <v>43525</v>
      </c>
      <c r="B314">
        <v>11.51</v>
      </c>
      <c r="C314">
        <v>11.51</v>
      </c>
      <c r="D314">
        <v>11.27</v>
      </c>
      <c r="E314">
        <v>11.29</v>
      </c>
      <c r="F314">
        <v>9.9025590000000001</v>
      </c>
      <c r="G314">
        <v>196245</v>
      </c>
    </row>
    <row r="315" spans="1:7">
      <c r="A315" s="45">
        <v>43528</v>
      </c>
      <c r="B315">
        <v>11.3</v>
      </c>
      <c r="C315">
        <v>11.42</v>
      </c>
      <c r="D315">
        <v>11.26</v>
      </c>
      <c r="E315">
        <v>11.35</v>
      </c>
      <c r="F315">
        <v>9.9551859999999994</v>
      </c>
      <c r="G315">
        <v>256820</v>
      </c>
    </row>
    <row r="316" spans="1:7">
      <c r="A316" s="45">
        <v>43529</v>
      </c>
      <c r="B316">
        <v>11.33</v>
      </c>
      <c r="C316">
        <v>11.48</v>
      </c>
      <c r="D316">
        <v>11.26</v>
      </c>
      <c r="E316">
        <v>11.36</v>
      </c>
      <c r="F316">
        <v>9.9639570000000006</v>
      </c>
      <c r="G316">
        <v>510650</v>
      </c>
    </row>
    <row r="317" spans="1:7">
      <c r="A317" s="45">
        <v>43530</v>
      </c>
      <c r="B317">
        <v>11.45</v>
      </c>
      <c r="C317">
        <v>11.65</v>
      </c>
      <c r="D317">
        <v>11.43</v>
      </c>
      <c r="E317">
        <v>11.57</v>
      </c>
      <c r="F317">
        <v>10.148149</v>
      </c>
      <c r="G317">
        <v>500727</v>
      </c>
    </row>
    <row r="318" spans="1:7">
      <c r="A318" s="45">
        <v>43531</v>
      </c>
      <c r="B318">
        <v>11.64</v>
      </c>
      <c r="C318">
        <v>11.73</v>
      </c>
      <c r="D318">
        <v>11.59</v>
      </c>
      <c r="E318">
        <v>11.62</v>
      </c>
      <c r="F318">
        <v>10.192005</v>
      </c>
      <c r="G318">
        <v>375280</v>
      </c>
    </row>
    <row r="319" spans="1:7">
      <c r="A319" s="45">
        <v>43532</v>
      </c>
      <c r="B319">
        <v>11.63</v>
      </c>
      <c r="C319">
        <v>11.63</v>
      </c>
      <c r="D319">
        <v>11.47</v>
      </c>
      <c r="E319">
        <v>11.54</v>
      </c>
      <c r="F319">
        <v>10.121836999999999</v>
      </c>
      <c r="G319">
        <v>600337</v>
      </c>
    </row>
    <row r="320" spans="1:7">
      <c r="A320" s="45">
        <v>43535</v>
      </c>
      <c r="B320">
        <v>11.6</v>
      </c>
      <c r="C320">
        <v>11.68</v>
      </c>
      <c r="D320">
        <v>11.5</v>
      </c>
      <c r="E320">
        <v>11.57</v>
      </c>
      <c r="F320">
        <v>10.148149</v>
      </c>
      <c r="G320">
        <v>345611</v>
      </c>
    </row>
    <row r="321" spans="1:7">
      <c r="A321" s="45">
        <v>43536</v>
      </c>
      <c r="B321">
        <v>11.55</v>
      </c>
      <c r="C321">
        <v>11.64</v>
      </c>
      <c r="D321">
        <v>11.52</v>
      </c>
      <c r="E321">
        <v>11.55</v>
      </c>
      <c r="F321">
        <v>10.130608000000001</v>
      </c>
      <c r="G321">
        <v>150240</v>
      </c>
    </row>
    <row r="322" spans="1:7">
      <c r="A322" s="45">
        <v>43537</v>
      </c>
      <c r="B322">
        <v>11.56</v>
      </c>
      <c r="C322">
        <v>11.67</v>
      </c>
      <c r="D322">
        <v>11.53</v>
      </c>
      <c r="E322">
        <v>11.59</v>
      </c>
      <c r="F322">
        <v>10.165692</v>
      </c>
      <c r="G322">
        <v>250701</v>
      </c>
    </row>
    <row r="323" spans="1:7">
      <c r="A323" s="45">
        <v>43538</v>
      </c>
      <c r="B323">
        <v>11.67</v>
      </c>
      <c r="C323">
        <v>11.73</v>
      </c>
      <c r="D323">
        <v>11.56</v>
      </c>
      <c r="E323">
        <v>11.71</v>
      </c>
      <c r="F323">
        <v>10.270944999999999</v>
      </c>
      <c r="G323">
        <v>172217</v>
      </c>
    </row>
    <row r="324" spans="1:7">
      <c r="A324" s="45">
        <v>43539</v>
      </c>
      <c r="B324">
        <v>12.07</v>
      </c>
      <c r="C324">
        <v>12.16</v>
      </c>
      <c r="D324">
        <v>12.01</v>
      </c>
      <c r="E324">
        <v>12.03</v>
      </c>
      <c r="F324">
        <v>10.55162</v>
      </c>
      <c r="G324">
        <v>166428</v>
      </c>
    </row>
    <row r="325" spans="1:7">
      <c r="A325" s="45">
        <v>43542</v>
      </c>
      <c r="B325">
        <v>12</v>
      </c>
      <c r="C325">
        <v>12.01</v>
      </c>
      <c r="D325">
        <v>11.7</v>
      </c>
      <c r="E325">
        <v>11.8</v>
      </c>
      <c r="F325">
        <v>10.349885</v>
      </c>
      <c r="G325">
        <v>289664</v>
      </c>
    </row>
    <row r="326" spans="1:7">
      <c r="A326" s="45">
        <v>43543</v>
      </c>
      <c r="B326">
        <v>11.81</v>
      </c>
      <c r="C326">
        <v>11.86</v>
      </c>
      <c r="D326">
        <v>11.61</v>
      </c>
      <c r="E326">
        <v>11.8</v>
      </c>
      <c r="F326">
        <v>10.349885</v>
      </c>
      <c r="G326">
        <v>389152</v>
      </c>
    </row>
    <row r="327" spans="1:7">
      <c r="A327" s="45">
        <v>43544</v>
      </c>
      <c r="B327">
        <v>11.74</v>
      </c>
      <c r="C327">
        <v>11.96</v>
      </c>
      <c r="D327">
        <v>11.74</v>
      </c>
      <c r="E327">
        <v>11.74</v>
      </c>
      <c r="F327">
        <v>10.297257999999999</v>
      </c>
      <c r="G327">
        <v>249327</v>
      </c>
    </row>
    <row r="328" spans="1:7">
      <c r="A328" s="45">
        <v>43545</v>
      </c>
      <c r="B328">
        <v>11.88</v>
      </c>
      <c r="C328">
        <v>11.88</v>
      </c>
      <c r="D328">
        <v>11.43</v>
      </c>
      <c r="E328">
        <v>11.47</v>
      </c>
      <c r="F328">
        <v>10.060439000000001</v>
      </c>
      <c r="G328">
        <v>305836</v>
      </c>
    </row>
    <row r="329" spans="1:7">
      <c r="A329" s="45">
        <v>43546</v>
      </c>
      <c r="B329">
        <v>11.62</v>
      </c>
      <c r="C329">
        <v>11.62</v>
      </c>
      <c r="D329">
        <v>11.25</v>
      </c>
      <c r="E329">
        <v>11.26</v>
      </c>
      <c r="F329">
        <v>9.8762460000000001</v>
      </c>
      <c r="G329">
        <v>199333</v>
      </c>
    </row>
    <row r="330" spans="1:7">
      <c r="A330" s="45">
        <v>43549</v>
      </c>
      <c r="B330">
        <v>11.1</v>
      </c>
      <c r="C330">
        <v>11.23</v>
      </c>
      <c r="D330">
        <v>10.63</v>
      </c>
      <c r="E330">
        <v>11.19</v>
      </c>
      <c r="F330">
        <v>9.8148479999999996</v>
      </c>
      <c r="G330">
        <v>273008</v>
      </c>
    </row>
    <row r="331" spans="1:7">
      <c r="A331" s="45">
        <v>43550</v>
      </c>
      <c r="B331">
        <v>11.26</v>
      </c>
      <c r="C331">
        <v>11.36</v>
      </c>
      <c r="D331">
        <v>11.13</v>
      </c>
      <c r="E331">
        <v>11.34</v>
      </c>
      <c r="F331">
        <v>9.946415</v>
      </c>
      <c r="G331">
        <v>241595</v>
      </c>
    </row>
    <row r="332" spans="1:7">
      <c r="A332" s="45">
        <v>43551</v>
      </c>
      <c r="B332">
        <v>11.01</v>
      </c>
      <c r="C332">
        <v>11.22</v>
      </c>
      <c r="D332">
        <v>10.47</v>
      </c>
      <c r="E332">
        <v>10.47</v>
      </c>
      <c r="F332">
        <v>9.1833310000000008</v>
      </c>
      <c r="G332">
        <v>350667</v>
      </c>
    </row>
    <row r="333" spans="1:7">
      <c r="A333" s="45">
        <v>43552</v>
      </c>
      <c r="B333">
        <v>9.52</v>
      </c>
      <c r="C333">
        <v>9.66</v>
      </c>
      <c r="D333">
        <v>9.33</v>
      </c>
      <c r="E333">
        <v>9.56</v>
      </c>
      <c r="F333">
        <v>9.56</v>
      </c>
      <c r="G333">
        <v>347389</v>
      </c>
    </row>
    <row r="334" spans="1:7">
      <c r="A334" s="45">
        <v>43553</v>
      </c>
      <c r="B334">
        <v>9.4499999999999993</v>
      </c>
      <c r="C334">
        <v>9.66</v>
      </c>
      <c r="D334">
        <v>9.4499999999999993</v>
      </c>
      <c r="E334">
        <v>9.56</v>
      </c>
      <c r="F334">
        <v>9.56</v>
      </c>
      <c r="G334">
        <v>257746</v>
      </c>
    </row>
    <row r="335" spans="1:7">
      <c r="A335" s="45">
        <v>43556</v>
      </c>
      <c r="B335">
        <v>9.6300000000000008</v>
      </c>
      <c r="C335">
        <v>9.89</v>
      </c>
      <c r="D335">
        <v>9.4700000000000006</v>
      </c>
      <c r="E335">
        <v>9.77</v>
      </c>
      <c r="F335">
        <v>9.77</v>
      </c>
      <c r="G335">
        <v>210090</v>
      </c>
    </row>
    <row r="336" spans="1:7">
      <c r="A336" s="45">
        <v>43557</v>
      </c>
      <c r="B336">
        <v>9.74</v>
      </c>
      <c r="C336">
        <v>9.86</v>
      </c>
      <c r="D336">
        <v>9.66</v>
      </c>
      <c r="E336">
        <v>9.74</v>
      </c>
      <c r="F336">
        <v>9.74</v>
      </c>
      <c r="G336">
        <v>179468</v>
      </c>
    </row>
    <row r="337" spans="1:7">
      <c r="A337" s="45">
        <v>43558</v>
      </c>
      <c r="B337">
        <v>9.67</v>
      </c>
      <c r="C337">
        <v>9.77</v>
      </c>
      <c r="D337">
        <v>9.6</v>
      </c>
      <c r="E337">
        <v>9.64</v>
      </c>
      <c r="F337">
        <v>9.64</v>
      </c>
      <c r="G337">
        <v>170789</v>
      </c>
    </row>
    <row r="338" spans="1:7">
      <c r="A338" s="45">
        <v>43559</v>
      </c>
      <c r="B338">
        <v>9.66</v>
      </c>
      <c r="C338">
        <v>9.66</v>
      </c>
      <c r="D338">
        <v>9.6</v>
      </c>
      <c r="E338">
        <v>9.6300000000000008</v>
      </c>
      <c r="F338">
        <v>9.6300000000000008</v>
      </c>
      <c r="G338">
        <v>236166</v>
      </c>
    </row>
    <row r="339" spans="1:7">
      <c r="A339" s="45">
        <v>43560</v>
      </c>
      <c r="B339">
        <v>9.68</v>
      </c>
      <c r="C339">
        <v>9.69</v>
      </c>
      <c r="D339">
        <v>9.6300000000000008</v>
      </c>
      <c r="E339">
        <v>9.68</v>
      </c>
      <c r="F339">
        <v>9.68</v>
      </c>
      <c r="G339">
        <v>325385</v>
      </c>
    </row>
    <row r="340" spans="1:7">
      <c r="A340" s="45">
        <v>43563</v>
      </c>
      <c r="B340">
        <v>9.66</v>
      </c>
      <c r="C340">
        <v>9.8800000000000008</v>
      </c>
      <c r="D340">
        <v>9.6</v>
      </c>
      <c r="E340">
        <v>9.7899999999999991</v>
      </c>
      <c r="F340">
        <v>9.7899999999999991</v>
      </c>
      <c r="G340">
        <v>383841</v>
      </c>
    </row>
    <row r="341" spans="1:7">
      <c r="A341" s="45">
        <v>43564</v>
      </c>
      <c r="B341">
        <v>9.73</v>
      </c>
      <c r="C341">
        <v>9.82</v>
      </c>
      <c r="D341">
        <v>9.68</v>
      </c>
      <c r="E341">
        <v>9.76</v>
      </c>
      <c r="F341">
        <v>9.76</v>
      </c>
      <c r="G341">
        <v>261610</v>
      </c>
    </row>
    <row r="342" spans="1:7">
      <c r="A342" s="45">
        <v>43565</v>
      </c>
      <c r="B342">
        <v>9.7100000000000009</v>
      </c>
      <c r="C342">
        <v>9.81</v>
      </c>
      <c r="D342">
        <v>9.68</v>
      </c>
      <c r="E342">
        <v>9.6999999999999993</v>
      </c>
      <c r="F342">
        <v>9.6999999999999993</v>
      </c>
      <c r="G342">
        <v>257015</v>
      </c>
    </row>
    <row r="343" spans="1:7">
      <c r="A343" s="45">
        <v>43566</v>
      </c>
      <c r="B343">
        <v>9.6999999999999993</v>
      </c>
      <c r="C343">
        <v>9.6999999999999993</v>
      </c>
      <c r="D343">
        <v>9.58</v>
      </c>
      <c r="E343">
        <v>9.6</v>
      </c>
      <c r="F343">
        <v>9.6</v>
      </c>
      <c r="G343">
        <v>92621</v>
      </c>
    </row>
    <row r="344" spans="1:7">
      <c r="A344" s="45">
        <v>43567</v>
      </c>
      <c r="B344">
        <v>9.52</v>
      </c>
      <c r="C344">
        <v>9.5399999999999991</v>
      </c>
      <c r="D344">
        <v>9.31</v>
      </c>
      <c r="E344">
        <v>9.44</v>
      </c>
      <c r="F344">
        <v>9.44</v>
      </c>
      <c r="G344">
        <v>186812</v>
      </c>
    </row>
    <row r="345" spans="1:7">
      <c r="A345" s="45">
        <v>43570</v>
      </c>
      <c r="B345">
        <v>9.3800000000000008</v>
      </c>
      <c r="C345">
        <v>9.58</v>
      </c>
      <c r="D345">
        <v>9.3800000000000008</v>
      </c>
      <c r="E345">
        <v>9.43</v>
      </c>
      <c r="F345">
        <v>9.43</v>
      </c>
      <c r="G345">
        <v>123143</v>
      </c>
    </row>
    <row r="346" spans="1:7">
      <c r="A346" s="45">
        <v>43571</v>
      </c>
      <c r="B346">
        <v>9.4499999999999993</v>
      </c>
      <c r="C346">
        <v>9.5500000000000007</v>
      </c>
      <c r="D346">
        <v>9.4</v>
      </c>
      <c r="E346">
        <v>9.41</v>
      </c>
      <c r="F346">
        <v>9.41</v>
      </c>
      <c r="G346">
        <v>199073</v>
      </c>
    </row>
    <row r="347" spans="1:7">
      <c r="A347" s="45">
        <v>43572</v>
      </c>
      <c r="B347">
        <v>9.4600000000000009</v>
      </c>
      <c r="C347">
        <v>9.56</v>
      </c>
      <c r="D347">
        <v>9.4600000000000009</v>
      </c>
      <c r="E347">
        <v>9.4700000000000006</v>
      </c>
      <c r="F347">
        <v>9.4700000000000006</v>
      </c>
      <c r="G347">
        <v>450351</v>
      </c>
    </row>
    <row r="348" spans="1:7">
      <c r="A348" s="45">
        <v>43573</v>
      </c>
      <c r="B348">
        <v>9.48</v>
      </c>
      <c r="C348">
        <v>9.5</v>
      </c>
      <c r="D348">
        <v>9.3800000000000008</v>
      </c>
      <c r="E348">
        <v>9.3800000000000008</v>
      </c>
      <c r="F348">
        <v>9.3800000000000008</v>
      </c>
      <c r="G348">
        <v>247774</v>
      </c>
    </row>
    <row r="349" spans="1:7">
      <c r="A349" s="45">
        <v>43574</v>
      </c>
      <c r="B349">
        <v>9.3800000000000008</v>
      </c>
      <c r="C349">
        <v>9.4700000000000006</v>
      </c>
      <c r="D349">
        <v>9.3800000000000008</v>
      </c>
      <c r="E349">
        <v>9.44</v>
      </c>
      <c r="F349">
        <v>9.44</v>
      </c>
      <c r="G349">
        <v>70833</v>
      </c>
    </row>
    <row r="350" spans="1:7">
      <c r="A350" s="45">
        <v>43577</v>
      </c>
      <c r="B350">
        <v>9.43</v>
      </c>
      <c r="C350">
        <v>9.43</v>
      </c>
      <c r="D350">
        <v>9.31</v>
      </c>
      <c r="E350">
        <v>9.31</v>
      </c>
      <c r="F350">
        <v>9.31</v>
      </c>
      <c r="G350">
        <v>94267</v>
      </c>
    </row>
    <row r="351" spans="1:7">
      <c r="A351" s="45">
        <v>43578</v>
      </c>
      <c r="B351">
        <v>9.31</v>
      </c>
      <c r="C351">
        <v>9.31</v>
      </c>
      <c r="D351">
        <v>9.31</v>
      </c>
      <c r="E351">
        <v>9.31</v>
      </c>
      <c r="F351">
        <v>9.31</v>
      </c>
      <c r="G351">
        <v>0</v>
      </c>
    </row>
    <row r="352" spans="1:7">
      <c r="A352" s="45">
        <v>43579</v>
      </c>
      <c r="B352">
        <v>9.2899999999999991</v>
      </c>
      <c r="C352">
        <v>9.44</v>
      </c>
      <c r="D352">
        <v>9.18</v>
      </c>
      <c r="E352">
        <v>9.26</v>
      </c>
      <c r="F352">
        <v>9.26</v>
      </c>
      <c r="G352">
        <v>519981</v>
      </c>
    </row>
    <row r="353" spans="1:7">
      <c r="A353" s="45">
        <v>43580</v>
      </c>
      <c r="B353">
        <v>9.35</v>
      </c>
      <c r="C353">
        <v>9.3699999999999992</v>
      </c>
      <c r="D353">
        <v>9.0399999999999991</v>
      </c>
      <c r="E353">
        <v>9.11</v>
      </c>
      <c r="F353">
        <v>9.11</v>
      </c>
      <c r="G353">
        <v>246001</v>
      </c>
    </row>
    <row r="354" spans="1:7">
      <c r="A354" s="45">
        <v>43581</v>
      </c>
      <c r="B354">
        <v>9.1</v>
      </c>
      <c r="C354">
        <v>9.16</v>
      </c>
      <c r="D354">
        <v>8.9600000000000009</v>
      </c>
      <c r="E354">
        <v>9.07</v>
      </c>
      <c r="F354">
        <v>9.07</v>
      </c>
      <c r="G354">
        <v>294830</v>
      </c>
    </row>
    <row r="355" spans="1:7">
      <c r="A355" s="45">
        <v>43584</v>
      </c>
      <c r="B355">
        <v>9.14</v>
      </c>
      <c r="C355">
        <v>9.15</v>
      </c>
      <c r="D355">
        <v>9.0399999999999991</v>
      </c>
      <c r="E355">
        <v>9.08</v>
      </c>
      <c r="F355">
        <v>9.08</v>
      </c>
      <c r="G355">
        <v>185372</v>
      </c>
    </row>
    <row r="356" spans="1:7">
      <c r="A356" s="45">
        <v>43585</v>
      </c>
      <c r="B356">
        <v>9.07</v>
      </c>
      <c r="C356">
        <v>9.23</v>
      </c>
      <c r="D356">
        <v>9.06</v>
      </c>
      <c r="E356">
        <v>9.23</v>
      </c>
      <c r="F356">
        <v>9.23</v>
      </c>
      <c r="G356">
        <v>288987</v>
      </c>
    </row>
    <row r="357" spans="1:7">
      <c r="A357" s="45">
        <v>43586</v>
      </c>
      <c r="B357">
        <v>9.23</v>
      </c>
      <c r="C357">
        <v>9.23</v>
      </c>
      <c r="D357">
        <v>9.23</v>
      </c>
      <c r="E357">
        <v>9.23</v>
      </c>
      <c r="F357">
        <v>9.23</v>
      </c>
      <c r="G357">
        <v>0</v>
      </c>
    </row>
    <row r="358" spans="1:7">
      <c r="A358" s="45">
        <v>43587</v>
      </c>
      <c r="B358">
        <v>9.2799999999999994</v>
      </c>
      <c r="C358">
        <v>9.2899999999999991</v>
      </c>
      <c r="D358">
        <v>9.0500000000000007</v>
      </c>
      <c r="E358">
        <v>9.0500000000000007</v>
      </c>
      <c r="F358">
        <v>9.0500000000000007</v>
      </c>
      <c r="G358">
        <v>128907</v>
      </c>
    </row>
    <row r="359" spans="1:7">
      <c r="A359" s="45">
        <v>43588</v>
      </c>
      <c r="B359">
        <v>9.0399999999999991</v>
      </c>
      <c r="C359">
        <v>9.07</v>
      </c>
      <c r="D359">
        <v>8.9700000000000006</v>
      </c>
      <c r="E359">
        <v>9</v>
      </c>
      <c r="F359">
        <v>9</v>
      </c>
      <c r="G359">
        <v>76782</v>
      </c>
    </row>
    <row r="360" spans="1:7">
      <c r="A360" s="45">
        <v>43591</v>
      </c>
      <c r="B360">
        <v>8.99</v>
      </c>
      <c r="C360">
        <v>8.99</v>
      </c>
      <c r="D360">
        <v>8.6</v>
      </c>
      <c r="E360">
        <v>8.75</v>
      </c>
      <c r="F360">
        <v>8.75</v>
      </c>
      <c r="G360">
        <v>165093</v>
      </c>
    </row>
    <row r="361" spans="1:7">
      <c r="A361" s="45">
        <v>43592</v>
      </c>
      <c r="B361">
        <v>8.67</v>
      </c>
      <c r="C361">
        <v>8.8000000000000007</v>
      </c>
      <c r="D361">
        <v>8.59</v>
      </c>
      <c r="E361">
        <v>8.75</v>
      </c>
      <c r="F361">
        <v>8.75</v>
      </c>
      <c r="G361">
        <v>221799</v>
      </c>
    </row>
    <row r="362" spans="1:7">
      <c r="A362" s="45">
        <v>43593</v>
      </c>
      <c r="B362">
        <v>8.7799999999999994</v>
      </c>
      <c r="C362">
        <v>8.8800000000000008</v>
      </c>
      <c r="D362">
        <v>8.74</v>
      </c>
      <c r="E362">
        <v>8.8000000000000007</v>
      </c>
      <c r="F362">
        <v>8.8000000000000007</v>
      </c>
      <c r="G362">
        <v>203286</v>
      </c>
    </row>
    <row r="363" spans="1:7">
      <c r="A363" s="45">
        <v>43594</v>
      </c>
      <c r="B363">
        <v>8.9499999999999993</v>
      </c>
      <c r="C363">
        <v>8.98</v>
      </c>
      <c r="D363">
        <v>8.8000000000000007</v>
      </c>
      <c r="E363">
        <v>8.82</v>
      </c>
      <c r="F363">
        <v>8.82</v>
      </c>
      <c r="G363">
        <v>460717</v>
      </c>
    </row>
    <row r="364" spans="1:7">
      <c r="A364" s="45">
        <v>43595</v>
      </c>
      <c r="B364">
        <v>8.86</v>
      </c>
      <c r="C364">
        <v>9.02</v>
      </c>
      <c r="D364">
        <v>8.7899999999999991</v>
      </c>
      <c r="E364">
        <v>9</v>
      </c>
      <c r="F364">
        <v>9</v>
      </c>
      <c r="G364">
        <v>210075</v>
      </c>
    </row>
    <row r="365" spans="1:7">
      <c r="A365" s="45">
        <v>43598</v>
      </c>
      <c r="B365">
        <v>9</v>
      </c>
      <c r="C365">
        <v>9</v>
      </c>
      <c r="D365">
        <v>8.6</v>
      </c>
      <c r="E365">
        <v>8.89</v>
      </c>
      <c r="F365">
        <v>8.89</v>
      </c>
      <c r="G365">
        <v>344472</v>
      </c>
    </row>
    <row r="366" spans="1:7">
      <c r="A366" s="45">
        <v>43599</v>
      </c>
      <c r="B366">
        <v>8.9</v>
      </c>
      <c r="C366">
        <v>9.1</v>
      </c>
      <c r="D366">
        <v>8.81</v>
      </c>
      <c r="E366">
        <v>9.0299999999999994</v>
      </c>
      <c r="F366">
        <v>9.0299999999999994</v>
      </c>
      <c r="G366">
        <v>267607</v>
      </c>
    </row>
    <row r="367" spans="1:7">
      <c r="A367" s="45">
        <v>43600</v>
      </c>
      <c r="B367">
        <v>9.0500000000000007</v>
      </c>
      <c r="C367">
        <v>9.0500000000000007</v>
      </c>
      <c r="D367">
        <v>8.75</v>
      </c>
      <c r="E367">
        <v>8.82</v>
      </c>
      <c r="F367">
        <v>8.82</v>
      </c>
      <c r="G367">
        <v>251410</v>
      </c>
    </row>
    <row r="368" spans="1:7">
      <c r="A368" s="45">
        <v>43601</v>
      </c>
      <c r="B368">
        <v>8.85</v>
      </c>
      <c r="C368">
        <v>8.92</v>
      </c>
      <c r="D368">
        <v>8.74</v>
      </c>
      <c r="E368">
        <v>8.7799999999999994</v>
      </c>
      <c r="F368">
        <v>8.7799999999999994</v>
      </c>
      <c r="G368">
        <v>182093</v>
      </c>
    </row>
    <row r="369" spans="1:7">
      <c r="A369" s="45">
        <v>43602</v>
      </c>
      <c r="B369">
        <v>8.7899999999999991</v>
      </c>
      <c r="C369">
        <v>8.81</v>
      </c>
      <c r="D369">
        <v>8.64</v>
      </c>
      <c r="E369">
        <v>8.69</v>
      </c>
      <c r="F369">
        <v>8.69</v>
      </c>
      <c r="G369">
        <v>155011</v>
      </c>
    </row>
    <row r="370" spans="1:7">
      <c r="A370" s="45">
        <v>43605</v>
      </c>
      <c r="B370">
        <v>8.6999999999999993</v>
      </c>
      <c r="C370">
        <v>8.74</v>
      </c>
      <c r="D370">
        <v>8.6300000000000008</v>
      </c>
      <c r="E370">
        <v>8.64</v>
      </c>
      <c r="F370">
        <v>8.64</v>
      </c>
      <c r="G370">
        <v>88346</v>
      </c>
    </row>
    <row r="371" spans="1:7">
      <c r="A371" s="45">
        <v>43606</v>
      </c>
      <c r="B371">
        <v>8.66</v>
      </c>
      <c r="C371">
        <v>8.67</v>
      </c>
      <c r="D371">
        <v>8.4600000000000009</v>
      </c>
      <c r="E371">
        <v>8.4700000000000006</v>
      </c>
      <c r="F371">
        <v>8.4700000000000006</v>
      </c>
      <c r="G371">
        <v>103201</v>
      </c>
    </row>
    <row r="372" spans="1:7">
      <c r="A372" s="45">
        <v>43607</v>
      </c>
      <c r="B372">
        <v>8.4700000000000006</v>
      </c>
      <c r="C372">
        <v>8.5</v>
      </c>
      <c r="D372">
        <v>8.2100000000000009</v>
      </c>
      <c r="E372">
        <v>8.3000000000000007</v>
      </c>
      <c r="F372">
        <v>8.3000000000000007</v>
      </c>
      <c r="G372">
        <v>203458</v>
      </c>
    </row>
    <row r="373" spans="1:7">
      <c r="A373" s="45">
        <v>43608</v>
      </c>
      <c r="B373">
        <v>8.31</v>
      </c>
      <c r="C373">
        <v>8.44</v>
      </c>
      <c r="D373">
        <v>8.31</v>
      </c>
      <c r="E373">
        <v>8.4</v>
      </c>
      <c r="F373">
        <v>8.4</v>
      </c>
      <c r="G373">
        <v>178842</v>
      </c>
    </row>
    <row r="374" spans="1:7">
      <c r="A374" s="45">
        <v>43609</v>
      </c>
      <c r="B374">
        <v>8.39</v>
      </c>
      <c r="C374">
        <v>8.59</v>
      </c>
      <c r="D374">
        <v>8.3800000000000008</v>
      </c>
      <c r="E374">
        <v>8.58</v>
      </c>
      <c r="F374">
        <v>8.58</v>
      </c>
      <c r="G374">
        <v>158508</v>
      </c>
    </row>
    <row r="375" spans="1:7">
      <c r="A375" s="45">
        <v>43612</v>
      </c>
      <c r="B375">
        <v>8.58</v>
      </c>
      <c r="C375">
        <v>8.7200000000000006</v>
      </c>
      <c r="D375">
        <v>8.35</v>
      </c>
      <c r="E375">
        <v>8.3800000000000008</v>
      </c>
      <c r="F375">
        <v>8.3800000000000008</v>
      </c>
      <c r="G375">
        <v>172176</v>
      </c>
    </row>
    <row r="376" spans="1:7">
      <c r="A376" s="45">
        <v>43613</v>
      </c>
      <c r="B376">
        <v>8.39</v>
      </c>
      <c r="C376">
        <v>8.6300000000000008</v>
      </c>
      <c r="D376">
        <v>8.39</v>
      </c>
      <c r="E376">
        <v>8.5399999999999991</v>
      </c>
      <c r="F376">
        <v>8.5399999999999991</v>
      </c>
      <c r="G376">
        <v>151910</v>
      </c>
    </row>
    <row r="377" spans="1:7">
      <c r="A377" s="45">
        <v>43614</v>
      </c>
      <c r="B377">
        <v>8.6199999999999992</v>
      </c>
      <c r="C377">
        <v>8.7200000000000006</v>
      </c>
      <c r="D377">
        <v>8.51</v>
      </c>
      <c r="E377">
        <v>8.65</v>
      </c>
      <c r="F377">
        <v>8.65</v>
      </c>
      <c r="G377">
        <v>105966</v>
      </c>
    </row>
    <row r="378" spans="1:7">
      <c r="A378" s="45">
        <v>43615</v>
      </c>
      <c r="B378">
        <v>8.66</v>
      </c>
      <c r="C378">
        <v>8.9499999999999993</v>
      </c>
      <c r="D378">
        <v>8.66</v>
      </c>
      <c r="E378">
        <v>8.9</v>
      </c>
      <c r="F378">
        <v>8.9</v>
      </c>
      <c r="G378">
        <v>258141</v>
      </c>
    </row>
    <row r="379" spans="1:7">
      <c r="A379" s="45">
        <v>43616</v>
      </c>
      <c r="B379">
        <v>8.91</v>
      </c>
      <c r="C379">
        <v>8.9499999999999993</v>
      </c>
      <c r="D379">
        <v>8.8000000000000007</v>
      </c>
      <c r="E379">
        <v>8.84</v>
      </c>
      <c r="F379">
        <v>8.84</v>
      </c>
      <c r="G379">
        <v>243144</v>
      </c>
    </row>
    <row r="380" spans="1:7">
      <c r="A380" s="45">
        <v>43619</v>
      </c>
      <c r="B380">
        <v>8.86</v>
      </c>
      <c r="C380">
        <v>8.91</v>
      </c>
      <c r="D380">
        <v>8.81</v>
      </c>
      <c r="E380">
        <v>8.82</v>
      </c>
      <c r="F380">
        <v>8.82</v>
      </c>
      <c r="G380">
        <v>60164</v>
      </c>
    </row>
    <row r="381" spans="1:7">
      <c r="A381" s="45">
        <v>43620</v>
      </c>
      <c r="B381">
        <v>8.82</v>
      </c>
      <c r="C381">
        <v>8.82</v>
      </c>
      <c r="D381">
        <v>8.82</v>
      </c>
      <c r="E381">
        <v>8.82</v>
      </c>
      <c r="F381">
        <v>8.82</v>
      </c>
      <c r="G381">
        <v>0</v>
      </c>
    </row>
    <row r="382" spans="1:7">
      <c r="A382" s="45">
        <v>43621</v>
      </c>
      <c r="B382">
        <v>8.82</v>
      </c>
      <c r="C382">
        <v>8.82</v>
      </c>
      <c r="D382">
        <v>8.82</v>
      </c>
      <c r="E382">
        <v>8.82</v>
      </c>
      <c r="F382">
        <v>8.82</v>
      </c>
      <c r="G382">
        <v>0</v>
      </c>
    </row>
    <row r="383" spans="1:7">
      <c r="A383" s="45">
        <v>43622</v>
      </c>
      <c r="B383">
        <v>8.82</v>
      </c>
      <c r="C383">
        <v>8.82</v>
      </c>
      <c r="D383">
        <v>8.82</v>
      </c>
      <c r="E383">
        <v>8.82</v>
      </c>
      <c r="F383">
        <v>8.82</v>
      </c>
      <c r="G383">
        <v>0</v>
      </c>
    </row>
    <row r="384" spans="1:7">
      <c r="A384" s="45">
        <v>43623</v>
      </c>
      <c r="B384">
        <v>8.82</v>
      </c>
      <c r="C384">
        <v>9.0299999999999994</v>
      </c>
      <c r="D384">
        <v>8.75</v>
      </c>
      <c r="E384">
        <v>8.9499999999999993</v>
      </c>
      <c r="F384">
        <v>8.9499999999999993</v>
      </c>
      <c r="G384">
        <v>262274</v>
      </c>
    </row>
    <row r="385" spans="1:7">
      <c r="A385" s="45">
        <v>43626</v>
      </c>
      <c r="B385">
        <v>8.9499999999999993</v>
      </c>
      <c r="C385">
        <v>9.14</v>
      </c>
      <c r="D385">
        <v>8.89</v>
      </c>
      <c r="E385">
        <v>9.11</v>
      </c>
      <c r="F385">
        <v>9.11</v>
      </c>
      <c r="G385">
        <v>262282</v>
      </c>
    </row>
    <row r="386" spans="1:7">
      <c r="A386" s="45">
        <v>43627</v>
      </c>
      <c r="B386">
        <v>9.1199999999999992</v>
      </c>
      <c r="C386">
        <v>9.15</v>
      </c>
      <c r="D386">
        <v>8.92</v>
      </c>
      <c r="E386">
        <v>8.94</v>
      </c>
      <c r="F386">
        <v>8.94</v>
      </c>
      <c r="G386">
        <v>208743</v>
      </c>
    </row>
    <row r="387" spans="1:7">
      <c r="A387" s="45">
        <v>43628</v>
      </c>
      <c r="B387">
        <v>8.94</v>
      </c>
      <c r="C387">
        <v>9</v>
      </c>
      <c r="D387">
        <v>8.8800000000000008</v>
      </c>
      <c r="E387">
        <v>8.8800000000000008</v>
      </c>
      <c r="F387">
        <v>8.8800000000000008</v>
      </c>
      <c r="G387">
        <v>172543</v>
      </c>
    </row>
    <row r="388" spans="1:7">
      <c r="A388" s="45">
        <v>43629</v>
      </c>
      <c r="B388">
        <v>8.84</v>
      </c>
      <c r="C388">
        <v>8.84</v>
      </c>
      <c r="D388">
        <v>8.5500000000000007</v>
      </c>
      <c r="E388">
        <v>8.58</v>
      </c>
      <c r="F388">
        <v>8.58</v>
      </c>
      <c r="G388">
        <v>184688</v>
      </c>
    </row>
    <row r="389" spans="1:7">
      <c r="A389" s="45">
        <v>43630</v>
      </c>
      <c r="B389">
        <v>8.58</v>
      </c>
      <c r="C389">
        <v>8.65</v>
      </c>
      <c r="D389">
        <v>8.5</v>
      </c>
      <c r="E389">
        <v>8.57</v>
      </c>
      <c r="F389">
        <v>8.57</v>
      </c>
      <c r="G389">
        <v>113090</v>
      </c>
    </row>
    <row r="390" spans="1:7">
      <c r="A390" s="45">
        <v>43633</v>
      </c>
      <c r="B390">
        <v>8.52</v>
      </c>
      <c r="C390">
        <v>8.7200000000000006</v>
      </c>
      <c r="D390">
        <v>8.48</v>
      </c>
      <c r="E390">
        <v>8.7200000000000006</v>
      </c>
      <c r="F390">
        <v>8.7200000000000006</v>
      </c>
      <c r="G390">
        <v>173123</v>
      </c>
    </row>
    <row r="391" spans="1:7">
      <c r="A391" s="45">
        <v>43634</v>
      </c>
      <c r="B391">
        <v>8.74</v>
      </c>
      <c r="C391">
        <v>8.83</v>
      </c>
      <c r="D391">
        <v>8.7100000000000009</v>
      </c>
      <c r="E391">
        <v>8.77</v>
      </c>
      <c r="F391">
        <v>8.77</v>
      </c>
      <c r="G391">
        <v>254277</v>
      </c>
    </row>
    <row r="392" spans="1:7">
      <c r="A392" s="45">
        <v>43635</v>
      </c>
      <c r="B392">
        <v>8.7200000000000006</v>
      </c>
      <c r="C392">
        <v>8.82</v>
      </c>
      <c r="D392">
        <v>8.65</v>
      </c>
      <c r="E392">
        <v>8.7100000000000009</v>
      </c>
      <c r="F392">
        <v>8.7100000000000009</v>
      </c>
      <c r="G392">
        <v>171373</v>
      </c>
    </row>
    <row r="393" spans="1:7">
      <c r="A393" s="45">
        <v>43636</v>
      </c>
      <c r="B393">
        <v>8.75</v>
      </c>
      <c r="C393">
        <v>8.84</v>
      </c>
      <c r="D393">
        <v>8.56</v>
      </c>
      <c r="E393">
        <v>8.61</v>
      </c>
      <c r="F393">
        <v>8.61</v>
      </c>
      <c r="G393">
        <v>359356</v>
      </c>
    </row>
    <row r="394" spans="1:7">
      <c r="A394" s="45">
        <v>43637</v>
      </c>
      <c r="B394">
        <v>8.61</v>
      </c>
      <c r="C394">
        <v>8.68</v>
      </c>
      <c r="D394">
        <v>8.58</v>
      </c>
      <c r="E394">
        <v>8.6199999999999992</v>
      </c>
      <c r="F394">
        <v>8.6199999999999992</v>
      </c>
      <c r="G394">
        <v>219342</v>
      </c>
    </row>
    <row r="395" spans="1:7">
      <c r="A395" s="45">
        <v>43640</v>
      </c>
      <c r="B395">
        <v>8.7200000000000006</v>
      </c>
      <c r="C395">
        <v>8.75</v>
      </c>
      <c r="D395">
        <v>8.56</v>
      </c>
      <c r="E395">
        <v>8.6999999999999993</v>
      </c>
      <c r="F395">
        <v>8.6999999999999993</v>
      </c>
      <c r="G395">
        <v>253823</v>
      </c>
    </row>
    <row r="396" spans="1:7">
      <c r="A396" s="45">
        <v>43641</v>
      </c>
      <c r="B396">
        <v>8.69</v>
      </c>
      <c r="C396">
        <v>8.7799999999999994</v>
      </c>
      <c r="D396">
        <v>8.66</v>
      </c>
      <c r="E396">
        <v>8.76</v>
      </c>
      <c r="F396">
        <v>8.76</v>
      </c>
      <c r="G396">
        <v>186129</v>
      </c>
    </row>
    <row r="397" spans="1:7">
      <c r="A397" s="45">
        <v>43642</v>
      </c>
      <c r="B397">
        <v>8.76</v>
      </c>
      <c r="C397">
        <v>8.82</v>
      </c>
      <c r="D397">
        <v>8.6999999999999993</v>
      </c>
      <c r="E397">
        <v>8.74</v>
      </c>
      <c r="F397">
        <v>8.74</v>
      </c>
      <c r="G397">
        <v>137856</v>
      </c>
    </row>
    <row r="398" spans="1:7">
      <c r="A398" s="45">
        <v>43643</v>
      </c>
      <c r="B398">
        <v>8.8000000000000007</v>
      </c>
      <c r="C398">
        <v>8.91</v>
      </c>
      <c r="D398">
        <v>8.76</v>
      </c>
      <c r="E398">
        <v>8.83</v>
      </c>
      <c r="F398">
        <v>8.83</v>
      </c>
      <c r="G398">
        <v>315344</v>
      </c>
    </row>
    <row r="399" spans="1:7">
      <c r="A399" s="45">
        <v>43644</v>
      </c>
      <c r="B399">
        <v>8.83</v>
      </c>
      <c r="C399">
        <v>8.9</v>
      </c>
      <c r="D399">
        <v>8.81</v>
      </c>
      <c r="E399">
        <v>8.86</v>
      </c>
      <c r="F399">
        <v>8.86</v>
      </c>
      <c r="G399">
        <v>151540</v>
      </c>
    </row>
    <row r="400" spans="1:7">
      <c r="A400" s="45">
        <v>43647</v>
      </c>
      <c r="B400">
        <v>8.89</v>
      </c>
      <c r="C400">
        <v>8.98</v>
      </c>
      <c r="D400">
        <v>8.86</v>
      </c>
      <c r="E400">
        <v>8.9600000000000009</v>
      </c>
      <c r="F400">
        <v>8.9600000000000009</v>
      </c>
      <c r="G400">
        <v>203629</v>
      </c>
    </row>
    <row r="401" spans="1:7">
      <c r="A401" s="45">
        <v>43648</v>
      </c>
      <c r="B401">
        <v>8.98</v>
      </c>
      <c r="C401">
        <v>9.1</v>
      </c>
      <c r="D401">
        <v>8.93</v>
      </c>
      <c r="E401">
        <v>9.0299999999999994</v>
      </c>
      <c r="F401">
        <v>9.0299999999999994</v>
      </c>
      <c r="G401">
        <v>266428</v>
      </c>
    </row>
    <row r="402" spans="1:7">
      <c r="A402" s="45">
        <v>43649</v>
      </c>
      <c r="B402">
        <v>9.09</v>
      </c>
      <c r="C402">
        <v>9.09</v>
      </c>
      <c r="D402">
        <v>8.89</v>
      </c>
      <c r="E402">
        <v>8.9499999999999993</v>
      </c>
      <c r="F402">
        <v>8.9499999999999993</v>
      </c>
      <c r="G402">
        <v>147847</v>
      </c>
    </row>
    <row r="403" spans="1:7">
      <c r="A403" s="45">
        <v>43650</v>
      </c>
      <c r="B403">
        <v>8.9600000000000009</v>
      </c>
      <c r="C403">
        <v>9.02</v>
      </c>
      <c r="D403">
        <v>8.85</v>
      </c>
      <c r="E403">
        <v>8.8800000000000008</v>
      </c>
      <c r="F403">
        <v>8.8800000000000008</v>
      </c>
      <c r="G403">
        <v>127672</v>
      </c>
    </row>
    <row r="404" spans="1:7">
      <c r="A404" s="45">
        <v>43651</v>
      </c>
      <c r="B404">
        <v>8.8800000000000008</v>
      </c>
      <c r="C404">
        <v>8.91</v>
      </c>
      <c r="D404">
        <v>8.77</v>
      </c>
      <c r="E404">
        <v>8.7899999999999991</v>
      </c>
      <c r="F404">
        <v>8.7899999999999991</v>
      </c>
      <c r="G404">
        <v>159808</v>
      </c>
    </row>
    <row r="405" spans="1:7">
      <c r="A405" s="45">
        <v>43654</v>
      </c>
      <c r="B405">
        <v>8.6999999999999993</v>
      </c>
      <c r="C405">
        <v>8.7899999999999991</v>
      </c>
      <c r="D405">
        <v>8.6199999999999992</v>
      </c>
      <c r="E405">
        <v>8.7100000000000009</v>
      </c>
      <c r="F405">
        <v>8.7100000000000009</v>
      </c>
      <c r="G405">
        <v>100555</v>
      </c>
    </row>
    <row r="406" spans="1:7">
      <c r="A406" s="45">
        <v>43655</v>
      </c>
      <c r="B406">
        <v>8.73</v>
      </c>
      <c r="C406">
        <v>8.8000000000000007</v>
      </c>
      <c r="D406">
        <v>8.6199999999999992</v>
      </c>
      <c r="E406">
        <v>8.6999999999999993</v>
      </c>
      <c r="F406">
        <v>8.6999999999999993</v>
      </c>
      <c r="G406">
        <v>312008</v>
      </c>
    </row>
    <row r="407" spans="1:7">
      <c r="A407" s="45">
        <v>43656</v>
      </c>
      <c r="B407">
        <v>8.6999999999999993</v>
      </c>
      <c r="C407">
        <v>8.73</v>
      </c>
      <c r="D407">
        <v>8.58</v>
      </c>
      <c r="E407">
        <v>8.6999999999999993</v>
      </c>
      <c r="F407">
        <v>8.6999999999999993</v>
      </c>
      <c r="G407">
        <v>123787</v>
      </c>
    </row>
    <row r="408" spans="1:7">
      <c r="A408" s="45">
        <v>43657</v>
      </c>
      <c r="B408">
        <v>8.7200000000000006</v>
      </c>
      <c r="C408">
        <v>9.3000000000000007</v>
      </c>
      <c r="D408">
        <v>8.7200000000000006</v>
      </c>
      <c r="E408">
        <v>9.2899999999999991</v>
      </c>
      <c r="F408">
        <v>9.2899999999999991</v>
      </c>
      <c r="G408">
        <v>706128</v>
      </c>
    </row>
    <row r="409" spans="1:7">
      <c r="A409" s="45">
        <v>43658</v>
      </c>
      <c r="B409">
        <v>9.3000000000000007</v>
      </c>
      <c r="C409">
        <v>9.49</v>
      </c>
      <c r="D409">
        <v>9.01</v>
      </c>
      <c r="E409">
        <v>9.15</v>
      </c>
      <c r="F409">
        <v>9.15</v>
      </c>
      <c r="G409">
        <v>679792</v>
      </c>
    </row>
    <row r="410" spans="1:7">
      <c r="A410" s="45">
        <v>43661</v>
      </c>
      <c r="B410">
        <v>9.15</v>
      </c>
      <c r="C410">
        <v>9.15</v>
      </c>
      <c r="D410">
        <v>9.15</v>
      </c>
      <c r="E410">
        <v>9.15</v>
      </c>
      <c r="F410">
        <v>9.15</v>
      </c>
      <c r="G410">
        <v>0</v>
      </c>
    </row>
    <row r="411" spans="1:7">
      <c r="A411" s="45">
        <v>43662</v>
      </c>
      <c r="B411">
        <v>9.15</v>
      </c>
      <c r="C411">
        <v>9.5500000000000007</v>
      </c>
      <c r="D411">
        <v>9.15</v>
      </c>
      <c r="E411">
        <v>9.39</v>
      </c>
      <c r="F411">
        <v>9.39</v>
      </c>
      <c r="G411">
        <v>364681</v>
      </c>
    </row>
    <row r="412" spans="1:7">
      <c r="A412" s="45">
        <v>43663</v>
      </c>
      <c r="B412">
        <v>9.41</v>
      </c>
      <c r="C412">
        <v>9.68</v>
      </c>
      <c r="D412">
        <v>9.4</v>
      </c>
      <c r="E412">
        <v>9.4700000000000006</v>
      </c>
      <c r="F412">
        <v>9.4700000000000006</v>
      </c>
      <c r="G412">
        <v>195993</v>
      </c>
    </row>
    <row r="413" spans="1:7">
      <c r="A413" s="45">
        <v>43664</v>
      </c>
      <c r="B413">
        <v>9.4700000000000006</v>
      </c>
      <c r="C413">
        <v>9.7100000000000009</v>
      </c>
      <c r="D413">
        <v>9.4</v>
      </c>
      <c r="E413">
        <v>9.5500000000000007</v>
      </c>
      <c r="F413">
        <v>9.5500000000000007</v>
      </c>
      <c r="G413">
        <v>362387</v>
      </c>
    </row>
    <row r="414" spans="1:7">
      <c r="A414" s="45">
        <v>43665</v>
      </c>
      <c r="B414">
        <v>9.57</v>
      </c>
      <c r="C414">
        <v>9.94</v>
      </c>
      <c r="D414">
        <v>9.5500000000000007</v>
      </c>
      <c r="E414">
        <v>9.68</v>
      </c>
      <c r="F414">
        <v>9.68</v>
      </c>
      <c r="G414">
        <v>989228</v>
      </c>
    </row>
    <row r="415" spans="1:7">
      <c r="A415" s="45">
        <v>43668</v>
      </c>
      <c r="B415">
        <v>9.77</v>
      </c>
      <c r="C415">
        <v>9.89</v>
      </c>
      <c r="D415">
        <v>9.5</v>
      </c>
      <c r="E415">
        <v>9.56</v>
      </c>
      <c r="F415">
        <v>9.56</v>
      </c>
      <c r="G415">
        <v>292145</v>
      </c>
    </row>
    <row r="416" spans="1:7">
      <c r="A416" s="45">
        <v>43669</v>
      </c>
      <c r="B416">
        <v>9.58</v>
      </c>
      <c r="C416">
        <v>10.1</v>
      </c>
      <c r="D416">
        <v>9.5</v>
      </c>
      <c r="E416">
        <v>9.82</v>
      </c>
      <c r="F416">
        <v>9.82</v>
      </c>
      <c r="G416">
        <v>1012234</v>
      </c>
    </row>
    <row r="417" spans="1:7">
      <c r="A417" s="45">
        <v>43670</v>
      </c>
      <c r="B417">
        <v>9.75</v>
      </c>
      <c r="C417">
        <v>10.3</v>
      </c>
      <c r="D417">
        <v>9.75</v>
      </c>
      <c r="E417">
        <v>10.199999999999999</v>
      </c>
      <c r="F417">
        <v>10.199999999999999</v>
      </c>
      <c r="G417">
        <v>944475</v>
      </c>
    </row>
    <row r="418" spans="1:7">
      <c r="A418" s="45">
        <v>43671</v>
      </c>
      <c r="B418">
        <v>10.16</v>
      </c>
      <c r="C418">
        <v>10.3</v>
      </c>
      <c r="D418">
        <v>10.07</v>
      </c>
      <c r="E418">
        <v>10.14</v>
      </c>
      <c r="F418">
        <v>10.14</v>
      </c>
      <c r="G418">
        <v>336182</v>
      </c>
    </row>
    <row r="419" spans="1:7">
      <c r="A419" s="45">
        <v>43672</v>
      </c>
      <c r="B419">
        <v>10.16</v>
      </c>
      <c r="C419">
        <v>10.33</v>
      </c>
      <c r="D419">
        <v>10.01</v>
      </c>
      <c r="E419">
        <v>10.17</v>
      </c>
      <c r="F419">
        <v>10.17</v>
      </c>
      <c r="G419">
        <v>375421</v>
      </c>
    </row>
    <row r="420" spans="1:7">
      <c r="A420" s="45">
        <v>43675</v>
      </c>
      <c r="B420">
        <v>10.17</v>
      </c>
      <c r="C420">
        <v>10.44</v>
      </c>
      <c r="D420">
        <v>10.17</v>
      </c>
      <c r="E420">
        <v>10.29</v>
      </c>
      <c r="F420">
        <v>10.29</v>
      </c>
      <c r="G420">
        <v>445078</v>
      </c>
    </row>
    <row r="421" spans="1:7">
      <c r="A421" s="45">
        <v>43676</v>
      </c>
      <c r="B421">
        <v>10.29</v>
      </c>
      <c r="C421">
        <v>10.36</v>
      </c>
      <c r="D421">
        <v>10.23</v>
      </c>
      <c r="E421">
        <v>10.29</v>
      </c>
      <c r="F421">
        <v>10.29</v>
      </c>
      <c r="G421">
        <v>268529</v>
      </c>
    </row>
    <row r="422" spans="1:7">
      <c r="A422" s="45">
        <v>43677</v>
      </c>
      <c r="B422">
        <v>10.27</v>
      </c>
      <c r="C422">
        <v>10.38</v>
      </c>
      <c r="D422">
        <v>10.210000000000001</v>
      </c>
      <c r="E422">
        <v>10.210000000000001</v>
      </c>
      <c r="F422">
        <v>10.210000000000001</v>
      </c>
      <c r="G422">
        <v>397929</v>
      </c>
    </row>
    <row r="423" spans="1:7">
      <c r="A423" s="45">
        <v>43678</v>
      </c>
      <c r="B423">
        <v>10.199999999999999</v>
      </c>
      <c r="C423">
        <v>10.48</v>
      </c>
      <c r="D423">
        <v>10.08</v>
      </c>
      <c r="E423">
        <v>10.35</v>
      </c>
      <c r="F423">
        <v>10.35</v>
      </c>
      <c r="G423">
        <v>475897</v>
      </c>
    </row>
    <row r="424" spans="1:7">
      <c r="A424" s="45">
        <v>43679</v>
      </c>
      <c r="B424">
        <v>10.28</v>
      </c>
      <c r="C424">
        <v>10.35</v>
      </c>
      <c r="D424">
        <v>10.18</v>
      </c>
      <c r="E424">
        <v>10.23</v>
      </c>
      <c r="F424">
        <v>10.23</v>
      </c>
      <c r="G424">
        <v>180829</v>
      </c>
    </row>
    <row r="425" spans="1:7">
      <c r="A425" s="45">
        <v>43682</v>
      </c>
      <c r="B425">
        <v>10.17</v>
      </c>
      <c r="C425">
        <v>10.32</v>
      </c>
      <c r="D425">
        <v>10.11</v>
      </c>
      <c r="E425">
        <v>10.15</v>
      </c>
      <c r="F425">
        <v>10.15</v>
      </c>
      <c r="G425">
        <v>229739</v>
      </c>
    </row>
    <row r="426" spans="1:7">
      <c r="A426" s="45">
        <v>43683</v>
      </c>
      <c r="B426">
        <v>10.119999999999999</v>
      </c>
      <c r="C426">
        <v>10.220000000000001</v>
      </c>
      <c r="D426">
        <v>9.85</v>
      </c>
      <c r="E426">
        <v>10.029999999999999</v>
      </c>
      <c r="F426">
        <v>10.029999999999999</v>
      </c>
      <c r="G426">
        <v>163944</v>
      </c>
    </row>
    <row r="427" spans="1:7">
      <c r="A427" s="45">
        <v>43684</v>
      </c>
      <c r="B427">
        <v>10.050000000000001</v>
      </c>
      <c r="C427">
        <v>10.15</v>
      </c>
      <c r="D427">
        <v>9.65</v>
      </c>
      <c r="E427">
        <v>9.92</v>
      </c>
      <c r="F427">
        <v>9.92</v>
      </c>
      <c r="G427">
        <v>216260</v>
      </c>
    </row>
    <row r="428" spans="1:7">
      <c r="A428" s="45">
        <v>43685</v>
      </c>
      <c r="B428">
        <v>10.07</v>
      </c>
      <c r="C428">
        <v>10.07</v>
      </c>
      <c r="D428">
        <v>9.57</v>
      </c>
      <c r="E428">
        <v>9.66</v>
      </c>
      <c r="F428">
        <v>9.66</v>
      </c>
      <c r="G428">
        <v>404061</v>
      </c>
    </row>
    <row r="429" spans="1:7">
      <c r="A429" s="45">
        <v>43686</v>
      </c>
      <c r="B429">
        <v>9.65</v>
      </c>
      <c r="C429">
        <v>9.8000000000000007</v>
      </c>
      <c r="D429">
        <v>9.57</v>
      </c>
      <c r="E429">
        <v>9.68</v>
      </c>
      <c r="F429">
        <v>9.68</v>
      </c>
      <c r="G429">
        <v>177531</v>
      </c>
    </row>
    <row r="430" spans="1:7">
      <c r="A430" s="45">
        <v>43689</v>
      </c>
      <c r="B430">
        <v>9.68</v>
      </c>
      <c r="C430">
        <v>9.68</v>
      </c>
      <c r="D430">
        <v>9.68</v>
      </c>
      <c r="E430">
        <v>9.68</v>
      </c>
      <c r="F430">
        <v>9.68</v>
      </c>
      <c r="G430">
        <v>0</v>
      </c>
    </row>
    <row r="431" spans="1:7">
      <c r="A431" s="45">
        <v>43690</v>
      </c>
      <c r="B431">
        <v>9.68</v>
      </c>
      <c r="C431">
        <v>9.68</v>
      </c>
      <c r="D431">
        <v>9.68</v>
      </c>
      <c r="E431">
        <v>9.68</v>
      </c>
      <c r="F431">
        <v>9.68</v>
      </c>
      <c r="G431">
        <v>0</v>
      </c>
    </row>
    <row r="432" spans="1:7">
      <c r="A432" s="45">
        <v>43691</v>
      </c>
      <c r="B432">
        <v>9.68</v>
      </c>
      <c r="C432">
        <v>9.68</v>
      </c>
      <c r="D432">
        <v>9.68</v>
      </c>
      <c r="E432">
        <v>9.68</v>
      </c>
      <c r="F432">
        <v>9.68</v>
      </c>
      <c r="G432">
        <v>0</v>
      </c>
    </row>
    <row r="433" spans="1:7">
      <c r="A433" s="45">
        <v>43692</v>
      </c>
      <c r="B433">
        <v>9.69</v>
      </c>
      <c r="C433">
        <v>9.69</v>
      </c>
      <c r="D433">
        <v>9.34</v>
      </c>
      <c r="E433">
        <v>9.35</v>
      </c>
      <c r="F433">
        <v>9.35</v>
      </c>
      <c r="G433">
        <v>206651</v>
      </c>
    </row>
    <row r="434" spans="1:7">
      <c r="A434" s="45">
        <v>43693</v>
      </c>
      <c r="B434">
        <v>9.4</v>
      </c>
      <c r="C434">
        <v>9.48</v>
      </c>
      <c r="D434">
        <v>9.1999999999999993</v>
      </c>
      <c r="E434">
        <v>9.24</v>
      </c>
      <c r="F434">
        <v>9.24</v>
      </c>
      <c r="G434">
        <v>210022</v>
      </c>
    </row>
    <row r="435" spans="1:7">
      <c r="A435" s="45">
        <v>43696</v>
      </c>
      <c r="B435">
        <v>9.2100000000000009</v>
      </c>
      <c r="C435">
        <v>9.76</v>
      </c>
      <c r="D435">
        <v>9.2100000000000009</v>
      </c>
      <c r="E435">
        <v>9.5299999999999994</v>
      </c>
      <c r="F435">
        <v>9.5299999999999994</v>
      </c>
      <c r="G435">
        <v>379089</v>
      </c>
    </row>
    <row r="436" spans="1:7">
      <c r="A436" s="45">
        <v>43697</v>
      </c>
      <c r="B436">
        <v>9.5</v>
      </c>
      <c r="C436">
        <v>9.74</v>
      </c>
      <c r="D436">
        <v>9.5</v>
      </c>
      <c r="E436">
        <v>9.5</v>
      </c>
      <c r="F436">
        <v>9.5</v>
      </c>
      <c r="G436">
        <v>225491</v>
      </c>
    </row>
    <row r="437" spans="1:7">
      <c r="A437" s="45">
        <v>43698</v>
      </c>
      <c r="B437">
        <v>9.5399999999999991</v>
      </c>
      <c r="C437">
        <v>9.92</v>
      </c>
      <c r="D437">
        <v>9.49</v>
      </c>
      <c r="E437">
        <v>9.84</v>
      </c>
      <c r="F437">
        <v>9.84</v>
      </c>
      <c r="G437">
        <v>451762</v>
      </c>
    </row>
    <row r="438" spans="1:7">
      <c r="A438" s="45">
        <v>43699</v>
      </c>
      <c r="B438">
        <v>9.89</v>
      </c>
      <c r="C438">
        <v>9.89</v>
      </c>
      <c r="D438">
        <v>9.68</v>
      </c>
      <c r="E438">
        <v>9.75</v>
      </c>
      <c r="F438">
        <v>9.75</v>
      </c>
      <c r="G438">
        <v>230114</v>
      </c>
    </row>
    <row r="439" spans="1:7">
      <c r="A439" s="45">
        <v>43700</v>
      </c>
      <c r="B439">
        <v>9.81</v>
      </c>
      <c r="C439">
        <v>9.86</v>
      </c>
      <c r="D439">
        <v>9.74</v>
      </c>
      <c r="E439">
        <v>9.82</v>
      </c>
      <c r="F439">
        <v>9.82</v>
      </c>
      <c r="G439">
        <v>112495</v>
      </c>
    </row>
    <row r="440" spans="1:7">
      <c r="A440" s="45">
        <v>43703</v>
      </c>
      <c r="B440">
        <v>9.6999999999999993</v>
      </c>
      <c r="C440">
        <v>9.9700000000000006</v>
      </c>
      <c r="D440">
        <v>9.3000000000000007</v>
      </c>
      <c r="E440">
        <v>9.94</v>
      </c>
      <c r="F440">
        <v>9.94</v>
      </c>
      <c r="G440">
        <v>155301</v>
      </c>
    </row>
    <row r="441" spans="1:7">
      <c r="A441" s="45">
        <v>43704</v>
      </c>
      <c r="B441">
        <v>9.98</v>
      </c>
      <c r="C441">
        <v>10.039999999999999</v>
      </c>
      <c r="D441">
        <v>9.82</v>
      </c>
      <c r="E441">
        <v>9.9</v>
      </c>
      <c r="F441">
        <v>9.9</v>
      </c>
      <c r="G441">
        <v>117797</v>
      </c>
    </row>
    <row r="442" spans="1:7">
      <c r="A442" s="45">
        <v>43705</v>
      </c>
      <c r="B442">
        <v>9.6999999999999993</v>
      </c>
      <c r="C442">
        <v>9.81</v>
      </c>
      <c r="D442">
        <v>9.51</v>
      </c>
      <c r="E442">
        <v>9.77</v>
      </c>
      <c r="F442">
        <v>9.77</v>
      </c>
      <c r="G442">
        <v>143364</v>
      </c>
    </row>
    <row r="443" spans="1:7">
      <c r="A443" s="45">
        <v>43706</v>
      </c>
      <c r="B443">
        <v>9.7899999999999991</v>
      </c>
      <c r="C443">
        <v>9.85</v>
      </c>
      <c r="D443">
        <v>9.73</v>
      </c>
      <c r="E443">
        <v>9.85</v>
      </c>
      <c r="F443">
        <v>9.85</v>
      </c>
      <c r="G443">
        <v>104976</v>
      </c>
    </row>
    <row r="444" spans="1:7">
      <c r="A444" s="45">
        <v>43707</v>
      </c>
      <c r="B444">
        <v>9.85</v>
      </c>
      <c r="C444">
        <v>9.85</v>
      </c>
      <c r="D444">
        <v>9.85</v>
      </c>
      <c r="E444">
        <v>9.85</v>
      </c>
      <c r="F444">
        <v>9.85</v>
      </c>
      <c r="G444">
        <v>0</v>
      </c>
    </row>
    <row r="445" spans="1:7">
      <c r="A445" s="45">
        <v>43710</v>
      </c>
      <c r="B445">
        <v>9.83</v>
      </c>
      <c r="C445">
        <v>10</v>
      </c>
      <c r="D445">
        <v>9.82</v>
      </c>
      <c r="E445">
        <v>9.91</v>
      </c>
      <c r="F445">
        <v>9.91</v>
      </c>
      <c r="G445">
        <v>147453</v>
      </c>
    </row>
    <row r="446" spans="1:7">
      <c r="A446" s="45">
        <v>43711</v>
      </c>
      <c r="B446">
        <v>9.8699999999999992</v>
      </c>
      <c r="C446">
        <v>10.16</v>
      </c>
      <c r="D446">
        <v>9.8699999999999992</v>
      </c>
      <c r="E446">
        <v>9.9600000000000009</v>
      </c>
      <c r="F446">
        <v>9.9600000000000009</v>
      </c>
      <c r="G446">
        <v>212181</v>
      </c>
    </row>
    <row r="447" spans="1:7">
      <c r="A447" s="45">
        <v>43712</v>
      </c>
      <c r="B447">
        <v>9.9600000000000009</v>
      </c>
      <c r="C447">
        <v>10.16</v>
      </c>
      <c r="D447">
        <v>9.93</v>
      </c>
      <c r="E447">
        <v>10.09</v>
      </c>
      <c r="F447">
        <v>10.09</v>
      </c>
      <c r="G447">
        <v>228491</v>
      </c>
    </row>
    <row r="448" spans="1:7">
      <c r="A448" s="45">
        <v>43713</v>
      </c>
      <c r="B448">
        <v>10.11</v>
      </c>
      <c r="C448">
        <v>10.15</v>
      </c>
      <c r="D448">
        <v>9.9600000000000009</v>
      </c>
      <c r="E448">
        <v>10.050000000000001</v>
      </c>
      <c r="F448">
        <v>10.050000000000001</v>
      </c>
      <c r="G448">
        <v>121113</v>
      </c>
    </row>
    <row r="449" spans="1:7">
      <c r="A449" s="45">
        <v>43714</v>
      </c>
      <c r="B449">
        <v>10.07</v>
      </c>
      <c r="C449">
        <v>10.07</v>
      </c>
      <c r="D449">
        <v>9.9</v>
      </c>
      <c r="E449">
        <v>9.9600000000000009</v>
      </c>
      <c r="F449">
        <v>9.9600000000000009</v>
      </c>
      <c r="G449">
        <v>104362</v>
      </c>
    </row>
    <row r="450" spans="1:7">
      <c r="A450" s="45">
        <v>43717</v>
      </c>
      <c r="B450">
        <v>9.94</v>
      </c>
      <c r="C450">
        <v>10.1</v>
      </c>
      <c r="D450">
        <v>9.94</v>
      </c>
      <c r="E450">
        <v>10.01</v>
      </c>
      <c r="F450">
        <v>10.01</v>
      </c>
      <c r="G450">
        <v>106444</v>
      </c>
    </row>
    <row r="451" spans="1:7">
      <c r="A451" s="45">
        <v>43718</v>
      </c>
      <c r="B451">
        <v>9.99</v>
      </c>
      <c r="C451">
        <v>10.07</v>
      </c>
      <c r="D451">
        <v>9.93</v>
      </c>
      <c r="E451">
        <v>10</v>
      </c>
      <c r="F451">
        <v>10</v>
      </c>
      <c r="G451">
        <v>183876</v>
      </c>
    </row>
    <row r="452" spans="1:7">
      <c r="A452" s="45">
        <v>43719</v>
      </c>
      <c r="B452">
        <v>10.039999999999999</v>
      </c>
      <c r="C452">
        <v>10.220000000000001</v>
      </c>
      <c r="D452">
        <v>10</v>
      </c>
      <c r="E452">
        <v>10.15</v>
      </c>
      <c r="F452">
        <v>10.15</v>
      </c>
      <c r="G452">
        <v>360793</v>
      </c>
    </row>
    <row r="453" spans="1:7">
      <c r="A453" s="45">
        <v>43720</v>
      </c>
      <c r="B453">
        <v>10.14</v>
      </c>
      <c r="C453">
        <v>10.25</v>
      </c>
      <c r="D453">
        <v>10.06</v>
      </c>
      <c r="E453">
        <v>10.15</v>
      </c>
      <c r="F453">
        <v>10.15</v>
      </c>
      <c r="G453">
        <v>278311</v>
      </c>
    </row>
    <row r="454" spans="1:7">
      <c r="A454" s="45">
        <v>43721</v>
      </c>
      <c r="B454">
        <v>10.199999999999999</v>
      </c>
      <c r="C454">
        <v>10.5</v>
      </c>
      <c r="D454">
        <v>10.1</v>
      </c>
      <c r="E454">
        <v>10.46</v>
      </c>
      <c r="F454">
        <v>10.46</v>
      </c>
      <c r="G454">
        <v>485608</v>
      </c>
    </row>
    <row r="455" spans="1:7">
      <c r="A455" s="45">
        <v>43724</v>
      </c>
      <c r="B455">
        <v>10.5</v>
      </c>
      <c r="C455">
        <v>10.99</v>
      </c>
      <c r="D455">
        <v>10.43</v>
      </c>
      <c r="E455">
        <v>10.95</v>
      </c>
      <c r="F455">
        <v>10.95</v>
      </c>
      <c r="G455">
        <v>1084355</v>
      </c>
    </row>
    <row r="456" spans="1:7">
      <c r="A456" s="45">
        <v>43725</v>
      </c>
      <c r="B456">
        <v>10.95</v>
      </c>
      <c r="C456">
        <v>11.35</v>
      </c>
      <c r="D456">
        <v>10.9</v>
      </c>
      <c r="E456">
        <v>10.99</v>
      </c>
      <c r="F456">
        <v>10.99</v>
      </c>
      <c r="G456">
        <v>748076</v>
      </c>
    </row>
    <row r="457" spans="1:7">
      <c r="A457" s="45">
        <v>43726</v>
      </c>
      <c r="B457">
        <v>11.1</v>
      </c>
      <c r="C457">
        <v>11.22</v>
      </c>
      <c r="D457">
        <v>11</v>
      </c>
      <c r="E457">
        <v>11.18</v>
      </c>
      <c r="F457">
        <v>11.18</v>
      </c>
      <c r="G457">
        <v>296323</v>
      </c>
    </row>
    <row r="458" spans="1:7">
      <c r="A458" s="45">
        <v>43727</v>
      </c>
      <c r="B458">
        <v>11.2</v>
      </c>
      <c r="C458">
        <v>11.3</v>
      </c>
      <c r="D458">
        <v>10.88</v>
      </c>
      <c r="E458">
        <v>10.93</v>
      </c>
      <c r="F458">
        <v>10.93</v>
      </c>
      <c r="G458">
        <v>347198</v>
      </c>
    </row>
    <row r="459" spans="1:7">
      <c r="A459" s="45">
        <v>43728</v>
      </c>
      <c r="B459">
        <v>11.05</v>
      </c>
      <c r="C459">
        <v>11.05</v>
      </c>
      <c r="D459">
        <v>10.71</v>
      </c>
      <c r="E459">
        <v>10.78</v>
      </c>
      <c r="F459">
        <v>10.78</v>
      </c>
      <c r="G459">
        <v>345671</v>
      </c>
    </row>
    <row r="460" spans="1:7">
      <c r="A460" s="45">
        <v>43731</v>
      </c>
      <c r="B460">
        <v>10.82</v>
      </c>
      <c r="C460">
        <v>10.87</v>
      </c>
      <c r="D460">
        <v>10.6</v>
      </c>
      <c r="E460">
        <v>10.74</v>
      </c>
      <c r="F460">
        <v>10.74</v>
      </c>
      <c r="G460">
        <v>189290</v>
      </c>
    </row>
    <row r="461" spans="1:7">
      <c r="A461" s="45">
        <v>43732</v>
      </c>
      <c r="B461">
        <v>10.8</v>
      </c>
      <c r="C461">
        <v>10.97</v>
      </c>
      <c r="D461">
        <v>10.8</v>
      </c>
      <c r="E461">
        <v>10.91</v>
      </c>
      <c r="F461">
        <v>10.91</v>
      </c>
      <c r="G461">
        <v>234176</v>
      </c>
    </row>
    <row r="462" spans="1:7">
      <c r="A462" s="45">
        <v>43733</v>
      </c>
      <c r="B462">
        <v>10.9</v>
      </c>
      <c r="C462">
        <v>10.98</v>
      </c>
      <c r="D462">
        <v>10.6</v>
      </c>
      <c r="E462">
        <v>10.75</v>
      </c>
      <c r="F462">
        <v>10.75</v>
      </c>
      <c r="G462">
        <v>391862</v>
      </c>
    </row>
    <row r="463" spans="1:7">
      <c r="A463" s="45">
        <v>43734</v>
      </c>
      <c r="B463">
        <v>10.85</v>
      </c>
      <c r="C463">
        <v>11.29</v>
      </c>
      <c r="D463">
        <v>10.84</v>
      </c>
      <c r="E463">
        <v>11.13</v>
      </c>
      <c r="F463">
        <v>11.13</v>
      </c>
      <c r="G463">
        <v>925233</v>
      </c>
    </row>
    <row r="464" spans="1:7">
      <c r="A464" s="45">
        <v>43735</v>
      </c>
      <c r="B464">
        <v>11.25</v>
      </c>
      <c r="C464">
        <v>11.63</v>
      </c>
      <c r="D464">
        <v>11.25</v>
      </c>
      <c r="E464">
        <v>11.59</v>
      </c>
      <c r="F464">
        <v>11.59</v>
      </c>
      <c r="G464">
        <v>845851</v>
      </c>
    </row>
    <row r="465" spans="1:7">
      <c r="A465" s="45">
        <v>43738</v>
      </c>
      <c r="B465">
        <v>11.67</v>
      </c>
      <c r="C465">
        <v>11.91</v>
      </c>
      <c r="D465">
        <v>11.57</v>
      </c>
      <c r="E465">
        <v>11.77</v>
      </c>
      <c r="F465">
        <v>11.77</v>
      </c>
      <c r="G465">
        <v>654022</v>
      </c>
    </row>
    <row r="466" spans="1:7">
      <c r="A466" s="45">
        <v>43739</v>
      </c>
      <c r="B466">
        <v>11.89</v>
      </c>
      <c r="C466">
        <v>11.89</v>
      </c>
      <c r="D466">
        <v>11.49</v>
      </c>
      <c r="E466">
        <v>11.55</v>
      </c>
      <c r="F466">
        <v>11.55</v>
      </c>
      <c r="G466">
        <v>504319</v>
      </c>
    </row>
    <row r="467" spans="1:7">
      <c r="A467" s="45">
        <v>43740</v>
      </c>
      <c r="B467">
        <v>11.6</v>
      </c>
      <c r="C467">
        <v>11.64</v>
      </c>
      <c r="D467">
        <v>11.4</v>
      </c>
      <c r="E467">
        <v>11.57</v>
      </c>
      <c r="F467">
        <v>11.57</v>
      </c>
      <c r="G467">
        <v>334931</v>
      </c>
    </row>
    <row r="468" spans="1:7">
      <c r="A468" s="45">
        <v>43741</v>
      </c>
      <c r="B468">
        <v>11.65</v>
      </c>
      <c r="C468">
        <v>11.84</v>
      </c>
      <c r="D468">
        <v>11.31</v>
      </c>
      <c r="E468">
        <v>11.58</v>
      </c>
      <c r="F468">
        <v>11.58</v>
      </c>
      <c r="G468">
        <v>545224</v>
      </c>
    </row>
    <row r="469" spans="1:7">
      <c r="A469" s="45">
        <v>43742</v>
      </c>
      <c r="B469">
        <v>11.6</v>
      </c>
      <c r="C469">
        <v>11.65</v>
      </c>
      <c r="D469">
        <v>11.45</v>
      </c>
      <c r="E469">
        <v>11.56</v>
      </c>
      <c r="F469">
        <v>11.56</v>
      </c>
      <c r="G469">
        <v>251669</v>
      </c>
    </row>
    <row r="470" spans="1:7">
      <c r="A470" s="45">
        <v>43745</v>
      </c>
      <c r="B470">
        <v>11.56</v>
      </c>
      <c r="C470">
        <v>11.81</v>
      </c>
      <c r="D470">
        <v>11.44</v>
      </c>
      <c r="E470">
        <v>11.56</v>
      </c>
      <c r="F470">
        <v>11.56</v>
      </c>
      <c r="G470">
        <v>264138</v>
      </c>
    </row>
    <row r="471" spans="1:7">
      <c r="A471" s="45">
        <v>43746</v>
      </c>
      <c r="B471">
        <v>11.46</v>
      </c>
      <c r="C471">
        <v>11.61</v>
      </c>
      <c r="D471">
        <v>11.3</v>
      </c>
      <c r="E471">
        <v>11.56</v>
      </c>
      <c r="F471">
        <v>11.56</v>
      </c>
      <c r="G471">
        <v>394991</v>
      </c>
    </row>
    <row r="472" spans="1:7">
      <c r="A472" s="45">
        <v>43747</v>
      </c>
      <c r="B472">
        <v>11.6</v>
      </c>
      <c r="C472">
        <v>11.73</v>
      </c>
      <c r="D472">
        <v>11.05</v>
      </c>
      <c r="E472">
        <v>11.15</v>
      </c>
      <c r="F472">
        <v>11.15</v>
      </c>
      <c r="G472">
        <v>480172</v>
      </c>
    </row>
    <row r="473" spans="1:7">
      <c r="A473" s="45">
        <v>43748</v>
      </c>
      <c r="B473">
        <v>11.25</v>
      </c>
      <c r="C473">
        <v>11.25</v>
      </c>
      <c r="D473">
        <v>10.68</v>
      </c>
      <c r="E473">
        <v>10.77</v>
      </c>
      <c r="F473">
        <v>10.77</v>
      </c>
      <c r="G473">
        <v>334493</v>
      </c>
    </row>
    <row r="474" spans="1:7">
      <c r="A474" s="45">
        <v>43749</v>
      </c>
      <c r="B474">
        <v>10.88</v>
      </c>
      <c r="C474">
        <v>10.98</v>
      </c>
      <c r="D474">
        <v>10.7</v>
      </c>
      <c r="E474">
        <v>10.79</v>
      </c>
      <c r="F474">
        <v>10.79</v>
      </c>
      <c r="G474">
        <v>260002</v>
      </c>
    </row>
    <row r="475" spans="1:7">
      <c r="A475" s="45">
        <v>43752</v>
      </c>
      <c r="B475">
        <v>10.77</v>
      </c>
      <c r="C475">
        <v>10.77</v>
      </c>
      <c r="D475">
        <v>10.19</v>
      </c>
      <c r="E475">
        <v>10.29</v>
      </c>
      <c r="F475">
        <v>10.29</v>
      </c>
      <c r="G475">
        <v>319143</v>
      </c>
    </row>
    <row r="476" spans="1:7">
      <c r="A476" s="45">
        <v>43753</v>
      </c>
      <c r="B476">
        <v>10.5</v>
      </c>
      <c r="C476">
        <v>10.54</v>
      </c>
      <c r="D476">
        <v>10.18</v>
      </c>
      <c r="E476">
        <v>10.199999999999999</v>
      </c>
      <c r="F476">
        <v>10.199999999999999</v>
      </c>
      <c r="G476">
        <v>338502</v>
      </c>
    </row>
    <row r="477" spans="1:7">
      <c r="A477" s="45">
        <v>43754</v>
      </c>
      <c r="B477">
        <v>10.25</v>
      </c>
      <c r="C477">
        <v>10.26</v>
      </c>
      <c r="D477">
        <v>10.1</v>
      </c>
      <c r="E477">
        <v>10.14</v>
      </c>
      <c r="F477">
        <v>10.14</v>
      </c>
      <c r="G477">
        <v>246923</v>
      </c>
    </row>
    <row r="478" spans="1:7">
      <c r="A478" s="45">
        <v>43755</v>
      </c>
      <c r="B478">
        <v>10.3</v>
      </c>
      <c r="C478">
        <v>10.3</v>
      </c>
      <c r="D478">
        <v>10.06</v>
      </c>
      <c r="E478">
        <v>10.210000000000001</v>
      </c>
      <c r="F478">
        <v>10.210000000000001</v>
      </c>
      <c r="G478">
        <v>173524</v>
      </c>
    </row>
    <row r="479" spans="1:7">
      <c r="A479" s="45">
        <v>43756</v>
      </c>
      <c r="B479">
        <v>10.51</v>
      </c>
      <c r="C479">
        <v>10.71</v>
      </c>
      <c r="D479">
        <v>10.51</v>
      </c>
      <c r="E479">
        <v>10.6</v>
      </c>
      <c r="F479">
        <v>10.6</v>
      </c>
      <c r="G479">
        <v>312320</v>
      </c>
    </row>
    <row r="480" spans="1:7">
      <c r="A480" s="45">
        <v>43759</v>
      </c>
      <c r="B480">
        <v>10.51</v>
      </c>
      <c r="C480">
        <v>10.53</v>
      </c>
      <c r="D480">
        <v>10.23</v>
      </c>
      <c r="E480">
        <v>10.4</v>
      </c>
      <c r="F480">
        <v>10.4</v>
      </c>
      <c r="G480">
        <v>293785</v>
      </c>
    </row>
    <row r="481" spans="1:7">
      <c r="A481" s="45">
        <v>43760</v>
      </c>
      <c r="B481">
        <v>10.41</v>
      </c>
      <c r="C481">
        <v>10.74</v>
      </c>
      <c r="D481">
        <v>10.41</v>
      </c>
      <c r="E481">
        <v>10.74</v>
      </c>
      <c r="F481">
        <v>10.74</v>
      </c>
      <c r="G481">
        <v>328441</v>
      </c>
    </row>
    <row r="482" spans="1:7">
      <c r="A482" s="45">
        <v>43761</v>
      </c>
      <c r="B482">
        <v>10.87</v>
      </c>
      <c r="C482">
        <v>11.01</v>
      </c>
      <c r="D482">
        <v>10.85</v>
      </c>
      <c r="E482">
        <v>11</v>
      </c>
      <c r="F482">
        <v>11</v>
      </c>
      <c r="G482">
        <v>221778</v>
      </c>
    </row>
    <row r="483" spans="1:7">
      <c r="A483" s="45">
        <v>43762</v>
      </c>
      <c r="B483">
        <v>11.2</v>
      </c>
      <c r="C483">
        <v>11.2</v>
      </c>
      <c r="D483">
        <v>10.87</v>
      </c>
      <c r="E483">
        <v>10.87</v>
      </c>
      <c r="F483">
        <v>10.87</v>
      </c>
      <c r="G483">
        <v>162170</v>
      </c>
    </row>
    <row r="484" spans="1:7">
      <c r="A484" s="45">
        <v>43763</v>
      </c>
      <c r="B484">
        <v>11</v>
      </c>
      <c r="C484">
        <v>11.01</v>
      </c>
      <c r="D484">
        <v>10.88</v>
      </c>
      <c r="E484">
        <v>10.9</v>
      </c>
      <c r="F484">
        <v>10.9</v>
      </c>
      <c r="G484">
        <v>63895</v>
      </c>
    </row>
    <row r="485" spans="1:7">
      <c r="A485" s="45">
        <v>43766</v>
      </c>
      <c r="B485">
        <v>10.91</v>
      </c>
      <c r="C485">
        <v>10.91</v>
      </c>
      <c r="D485">
        <v>10.8</v>
      </c>
      <c r="E485">
        <v>10.89</v>
      </c>
      <c r="F485">
        <v>10.89</v>
      </c>
      <c r="G485">
        <v>29897</v>
      </c>
    </row>
    <row r="486" spans="1:7">
      <c r="A486" s="45">
        <v>43768</v>
      </c>
      <c r="B486">
        <v>10.87</v>
      </c>
      <c r="C486">
        <v>11.05</v>
      </c>
      <c r="D486">
        <v>10.8</v>
      </c>
      <c r="E486">
        <v>10.93</v>
      </c>
      <c r="F486">
        <v>10.93</v>
      </c>
      <c r="G486">
        <v>388882</v>
      </c>
    </row>
    <row r="487" spans="1:7">
      <c r="A487" s="45">
        <v>43769</v>
      </c>
      <c r="B487">
        <v>10.79</v>
      </c>
      <c r="C487">
        <v>10.97</v>
      </c>
      <c r="D487">
        <v>10.79</v>
      </c>
      <c r="E487">
        <v>10.9</v>
      </c>
      <c r="F487">
        <v>10.9</v>
      </c>
      <c r="G487">
        <v>71792</v>
      </c>
    </row>
    <row r="488" spans="1:7">
      <c r="A488" s="45">
        <v>43770</v>
      </c>
      <c r="B488">
        <v>10.9</v>
      </c>
      <c r="C488">
        <v>10.91</v>
      </c>
      <c r="D488">
        <v>10.73</v>
      </c>
      <c r="E488">
        <v>10.83</v>
      </c>
      <c r="F488">
        <v>10.83</v>
      </c>
      <c r="G488">
        <v>97152</v>
      </c>
    </row>
    <row r="489" spans="1:7">
      <c r="A489" s="45">
        <v>43773</v>
      </c>
      <c r="B489">
        <v>10.9</v>
      </c>
      <c r="C489">
        <v>11.05</v>
      </c>
      <c r="D489">
        <v>10.9</v>
      </c>
      <c r="E489">
        <v>10.97</v>
      </c>
      <c r="F489">
        <v>10.97</v>
      </c>
      <c r="G489">
        <v>129567</v>
      </c>
    </row>
    <row r="490" spans="1:7">
      <c r="A490" s="45">
        <v>43774</v>
      </c>
      <c r="B490">
        <v>10.97</v>
      </c>
      <c r="C490">
        <v>11.02</v>
      </c>
      <c r="D490">
        <v>10.88</v>
      </c>
      <c r="E490">
        <v>10.97</v>
      </c>
      <c r="F490">
        <v>10.97</v>
      </c>
      <c r="G490">
        <v>149761</v>
      </c>
    </row>
    <row r="491" spans="1:7">
      <c r="A491" s="45">
        <v>43775</v>
      </c>
      <c r="B491">
        <v>10.97</v>
      </c>
      <c r="C491">
        <v>11</v>
      </c>
      <c r="D491">
        <v>10.87</v>
      </c>
      <c r="E491">
        <v>10.96</v>
      </c>
      <c r="F491">
        <v>10.96</v>
      </c>
      <c r="G491">
        <v>133636</v>
      </c>
    </row>
    <row r="492" spans="1:7">
      <c r="A492" s="45">
        <v>43776</v>
      </c>
      <c r="B492">
        <v>10.9</v>
      </c>
      <c r="C492">
        <v>11.2</v>
      </c>
      <c r="D492">
        <v>10.9</v>
      </c>
      <c r="E492">
        <v>11.16</v>
      </c>
      <c r="F492">
        <v>11.16</v>
      </c>
      <c r="G492">
        <v>202963</v>
      </c>
    </row>
    <row r="493" spans="1:7">
      <c r="A493" s="45">
        <v>43777</v>
      </c>
      <c r="B493">
        <v>11.14</v>
      </c>
      <c r="C493">
        <v>11.66</v>
      </c>
      <c r="D493">
        <v>11.14</v>
      </c>
      <c r="E493">
        <v>11.59</v>
      </c>
      <c r="F493">
        <v>11.59</v>
      </c>
      <c r="G493">
        <v>770263</v>
      </c>
    </row>
    <row r="494" spans="1:7">
      <c r="A494" s="45">
        <v>43780</v>
      </c>
      <c r="B494">
        <v>11.55</v>
      </c>
      <c r="C494">
        <v>11.71</v>
      </c>
      <c r="D494">
        <v>11.55</v>
      </c>
      <c r="E494">
        <v>11.66</v>
      </c>
      <c r="F494">
        <v>11.66</v>
      </c>
      <c r="G494">
        <v>302810</v>
      </c>
    </row>
    <row r="495" spans="1:7">
      <c r="A495" s="45">
        <v>43781</v>
      </c>
      <c r="B495">
        <v>11.66</v>
      </c>
      <c r="C495">
        <v>11.78</v>
      </c>
      <c r="D495">
        <v>11.61</v>
      </c>
      <c r="E495">
        <v>11.66</v>
      </c>
      <c r="F495">
        <v>11.66</v>
      </c>
      <c r="G495">
        <v>301328</v>
      </c>
    </row>
    <row r="496" spans="1:7">
      <c r="A496" s="45">
        <v>43782</v>
      </c>
      <c r="B496">
        <v>11.6</v>
      </c>
      <c r="C496">
        <v>12.11</v>
      </c>
      <c r="D496">
        <v>11.6</v>
      </c>
      <c r="E496">
        <v>12.02</v>
      </c>
      <c r="F496">
        <v>12.02</v>
      </c>
      <c r="G496">
        <v>1082865</v>
      </c>
    </row>
    <row r="497" spans="1:7">
      <c r="A497" s="45">
        <v>43783</v>
      </c>
      <c r="B497">
        <v>11.99</v>
      </c>
      <c r="C497">
        <v>12.23</v>
      </c>
      <c r="D497">
        <v>11.96</v>
      </c>
      <c r="E497">
        <v>12.1</v>
      </c>
      <c r="F497">
        <v>12.1</v>
      </c>
      <c r="G497">
        <v>369432</v>
      </c>
    </row>
    <row r="498" spans="1:7">
      <c r="A498" s="45">
        <v>43784</v>
      </c>
      <c r="B498">
        <v>12.24</v>
      </c>
      <c r="C498">
        <v>12.25</v>
      </c>
      <c r="D498">
        <v>12.06</v>
      </c>
      <c r="E498">
        <v>12.18</v>
      </c>
      <c r="F498">
        <v>12.18</v>
      </c>
      <c r="G498">
        <v>277755</v>
      </c>
    </row>
    <row r="499" spans="1:7">
      <c r="A499" s="45">
        <v>43787</v>
      </c>
      <c r="B499">
        <v>12.26</v>
      </c>
      <c r="C499">
        <v>12.52</v>
      </c>
      <c r="D499">
        <v>12.24</v>
      </c>
      <c r="E499">
        <v>12.43</v>
      </c>
      <c r="F499">
        <v>12.43</v>
      </c>
      <c r="G499">
        <v>315333</v>
      </c>
    </row>
    <row r="500" spans="1:7">
      <c r="A500" s="45">
        <v>43788</v>
      </c>
      <c r="B500">
        <v>12.5</v>
      </c>
      <c r="C500">
        <v>12.51</v>
      </c>
      <c r="D500">
        <v>12.31</v>
      </c>
      <c r="E500">
        <v>12.47</v>
      </c>
      <c r="F500">
        <v>12.47</v>
      </c>
      <c r="G500">
        <v>295808</v>
      </c>
    </row>
    <row r="501" spans="1:7">
      <c r="A501" s="45">
        <v>43789</v>
      </c>
      <c r="B501">
        <v>12.48</v>
      </c>
      <c r="C501">
        <v>12.51</v>
      </c>
      <c r="D501">
        <v>12.3</v>
      </c>
      <c r="E501">
        <v>12.35</v>
      </c>
      <c r="F501">
        <v>12.35</v>
      </c>
      <c r="G501">
        <v>139606</v>
      </c>
    </row>
    <row r="502" spans="1:7">
      <c r="A502" s="45">
        <v>43790</v>
      </c>
      <c r="B502">
        <v>12.38</v>
      </c>
      <c r="C502">
        <v>12.44</v>
      </c>
      <c r="D502">
        <v>12.28</v>
      </c>
      <c r="E502">
        <v>12.36</v>
      </c>
      <c r="F502">
        <v>12.36</v>
      </c>
      <c r="G502">
        <v>181460</v>
      </c>
    </row>
    <row r="503" spans="1:7">
      <c r="A503" s="45">
        <v>43791</v>
      </c>
      <c r="B503">
        <v>12.2</v>
      </c>
      <c r="C503">
        <v>12.66</v>
      </c>
      <c r="D503">
        <v>12.2</v>
      </c>
      <c r="E503">
        <v>12.31</v>
      </c>
      <c r="F503">
        <v>12.31</v>
      </c>
      <c r="G503">
        <v>199086</v>
      </c>
    </row>
    <row r="504" spans="1:7">
      <c r="A504" s="45">
        <v>43794</v>
      </c>
      <c r="B504">
        <v>12.35</v>
      </c>
      <c r="C504">
        <v>12.48</v>
      </c>
      <c r="D504">
        <v>12.01</v>
      </c>
      <c r="E504">
        <v>12.22</v>
      </c>
      <c r="F504">
        <v>12.22</v>
      </c>
      <c r="G504">
        <v>211717</v>
      </c>
    </row>
    <row r="505" spans="1:7">
      <c r="A505" s="45">
        <v>43795</v>
      </c>
      <c r="B505">
        <v>12.22</v>
      </c>
      <c r="C505">
        <v>12.3</v>
      </c>
      <c r="D505">
        <v>12</v>
      </c>
      <c r="E505">
        <v>12.16</v>
      </c>
      <c r="F505">
        <v>12.16</v>
      </c>
      <c r="G505">
        <v>192794</v>
      </c>
    </row>
    <row r="506" spans="1:7">
      <c r="A506" s="45">
        <v>43796</v>
      </c>
      <c r="B506">
        <v>12.3</v>
      </c>
      <c r="C506">
        <v>12.4</v>
      </c>
      <c r="D506">
        <v>12.19</v>
      </c>
      <c r="E506">
        <v>12.36</v>
      </c>
      <c r="F506">
        <v>12.36</v>
      </c>
      <c r="G506">
        <v>92899</v>
      </c>
    </row>
    <row r="507" spans="1:7">
      <c r="A507" s="45">
        <v>43797</v>
      </c>
      <c r="B507">
        <v>12.38</v>
      </c>
      <c r="C507">
        <v>12.49</v>
      </c>
      <c r="D507">
        <v>12.29</v>
      </c>
      <c r="E507">
        <v>12.42</v>
      </c>
      <c r="F507">
        <v>12.42</v>
      </c>
      <c r="G507">
        <v>86809</v>
      </c>
    </row>
    <row r="508" spans="1:7">
      <c r="A508" s="45">
        <v>43798</v>
      </c>
      <c r="B508">
        <v>12.44</v>
      </c>
      <c r="C508">
        <v>12.48</v>
      </c>
      <c r="D508">
        <v>12.19</v>
      </c>
      <c r="E508">
        <v>12.22</v>
      </c>
      <c r="F508">
        <v>12.22</v>
      </c>
      <c r="G508">
        <v>159043</v>
      </c>
    </row>
    <row r="509" spans="1:7">
      <c r="A509" s="45">
        <v>43801</v>
      </c>
      <c r="B509">
        <v>12.28</v>
      </c>
      <c r="C509">
        <v>12.5</v>
      </c>
      <c r="D509">
        <v>12.25</v>
      </c>
      <c r="E509">
        <v>12.32</v>
      </c>
      <c r="F509">
        <v>12.32</v>
      </c>
      <c r="G509">
        <v>190377</v>
      </c>
    </row>
    <row r="510" spans="1:7">
      <c r="A510" s="45">
        <v>43802</v>
      </c>
      <c r="B510">
        <v>12.28</v>
      </c>
      <c r="C510">
        <v>12.39</v>
      </c>
      <c r="D510">
        <v>12.05</v>
      </c>
      <c r="E510">
        <v>12.05</v>
      </c>
      <c r="F510">
        <v>12.05</v>
      </c>
      <c r="G510">
        <v>221790</v>
      </c>
    </row>
    <row r="511" spans="1:7">
      <c r="A511" s="45">
        <v>43803</v>
      </c>
      <c r="B511">
        <v>12.16</v>
      </c>
      <c r="C511">
        <v>12.26</v>
      </c>
      <c r="D511">
        <v>12.15</v>
      </c>
      <c r="E511">
        <v>12.19</v>
      </c>
      <c r="F511">
        <v>12.19</v>
      </c>
      <c r="G511">
        <v>146045</v>
      </c>
    </row>
    <row r="512" spans="1:7">
      <c r="A512" s="45">
        <v>43804</v>
      </c>
      <c r="B512">
        <v>12.19</v>
      </c>
      <c r="C512">
        <v>13.4</v>
      </c>
      <c r="D512">
        <v>12.19</v>
      </c>
      <c r="E512">
        <v>12.46</v>
      </c>
      <c r="F512">
        <v>12.46</v>
      </c>
      <c r="G512">
        <v>2550767</v>
      </c>
    </row>
    <row r="513" spans="1:7">
      <c r="A513" s="45">
        <v>43805</v>
      </c>
      <c r="B513">
        <v>12.52</v>
      </c>
      <c r="C513">
        <v>12.63</v>
      </c>
      <c r="D513">
        <v>12.39</v>
      </c>
      <c r="E513">
        <v>12.53</v>
      </c>
      <c r="F513">
        <v>12.53</v>
      </c>
      <c r="G513">
        <v>648645</v>
      </c>
    </row>
    <row r="514" spans="1:7">
      <c r="A514" s="45">
        <v>43808</v>
      </c>
      <c r="B514">
        <v>12.53</v>
      </c>
      <c r="C514">
        <v>12.67</v>
      </c>
      <c r="D514">
        <v>12.51</v>
      </c>
      <c r="E514">
        <v>12.67</v>
      </c>
      <c r="F514">
        <v>12.67</v>
      </c>
      <c r="G514">
        <v>550031</v>
      </c>
    </row>
    <row r="515" spans="1:7">
      <c r="A515" s="45">
        <v>43809</v>
      </c>
      <c r="B515">
        <v>12.8</v>
      </c>
      <c r="C515">
        <v>12.84</v>
      </c>
      <c r="D515">
        <v>12.42</v>
      </c>
      <c r="E515">
        <v>12.57</v>
      </c>
      <c r="F515">
        <v>12.57</v>
      </c>
      <c r="G515">
        <v>631276</v>
      </c>
    </row>
    <row r="516" spans="1:7">
      <c r="A516" s="45">
        <v>43810</v>
      </c>
      <c r="B516">
        <v>12.5</v>
      </c>
      <c r="C516">
        <v>12.5</v>
      </c>
      <c r="D516">
        <v>12.3</v>
      </c>
      <c r="E516">
        <v>12.4</v>
      </c>
      <c r="F516">
        <v>12.4</v>
      </c>
      <c r="G516">
        <v>245241</v>
      </c>
    </row>
    <row r="517" spans="1:7">
      <c r="A517" s="45">
        <v>43811</v>
      </c>
      <c r="B517">
        <v>12.44</v>
      </c>
      <c r="C517">
        <v>12.56</v>
      </c>
      <c r="D517">
        <v>12.44</v>
      </c>
      <c r="E517">
        <v>12.54</v>
      </c>
      <c r="F517">
        <v>12.54</v>
      </c>
      <c r="G517">
        <v>251384</v>
      </c>
    </row>
    <row r="518" spans="1:7">
      <c r="A518" s="45">
        <v>43812</v>
      </c>
      <c r="B518">
        <v>12.6</v>
      </c>
      <c r="C518">
        <v>12.68</v>
      </c>
      <c r="D518">
        <v>12.35</v>
      </c>
      <c r="E518">
        <v>12.5</v>
      </c>
      <c r="F518">
        <v>12.5</v>
      </c>
      <c r="G518">
        <v>443624</v>
      </c>
    </row>
    <row r="519" spans="1:7">
      <c r="A519" s="45">
        <v>43815</v>
      </c>
      <c r="B519">
        <v>12.5</v>
      </c>
      <c r="C519">
        <v>12.56</v>
      </c>
      <c r="D519">
        <v>12.4</v>
      </c>
      <c r="E519">
        <v>12.49</v>
      </c>
      <c r="F519">
        <v>12.49</v>
      </c>
      <c r="G519">
        <v>135090</v>
      </c>
    </row>
    <row r="520" spans="1:7">
      <c r="A520" s="45">
        <v>43816</v>
      </c>
      <c r="B520">
        <v>12.53</v>
      </c>
      <c r="C520">
        <v>12.64</v>
      </c>
      <c r="D520">
        <v>12.48</v>
      </c>
      <c r="E520">
        <v>12.54</v>
      </c>
      <c r="F520">
        <v>12.54</v>
      </c>
      <c r="G520">
        <v>307473</v>
      </c>
    </row>
    <row r="521" spans="1:7">
      <c r="A521" s="45">
        <v>43817</v>
      </c>
      <c r="B521">
        <v>12.54</v>
      </c>
      <c r="C521">
        <v>12.59</v>
      </c>
      <c r="D521">
        <v>12.39</v>
      </c>
      <c r="E521">
        <v>12.42</v>
      </c>
      <c r="F521">
        <v>12.42</v>
      </c>
      <c r="G521">
        <v>171664</v>
      </c>
    </row>
    <row r="522" spans="1:7">
      <c r="A522" s="45">
        <v>43818</v>
      </c>
      <c r="B522">
        <v>12.42</v>
      </c>
      <c r="C522">
        <v>12.56</v>
      </c>
      <c r="D522">
        <v>12.38</v>
      </c>
      <c r="E522">
        <v>12.46</v>
      </c>
      <c r="F522">
        <v>12.46</v>
      </c>
      <c r="G522">
        <v>258220</v>
      </c>
    </row>
    <row r="523" spans="1:7">
      <c r="A523" s="45">
        <v>43819</v>
      </c>
      <c r="B523">
        <v>12.55</v>
      </c>
      <c r="C523">
        <v>12.65</v>
      </c>
      <c r="D523">
        <v>12.53</v>
      </c>
      <c r="E523">
        <v>12.56</v>
      </c>
      <c r="F523">
        <v>12.56</v>
      </c>
      <c r="G523">
        <v>191702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autoLine="0" autoPict="0" r:id="rId4">
            <anchor moveWithCells="1">
              <from>
                <xdr:col>8</xdr:col>
                <xdr:colOff>323850</xdr:colOff>
                <xdr:row>1</xdr:row>
                <xdr:rowOff>76200</xdr:rowOff>
              </from>
              <to>
                <xdr:col>12</xdr:col>
                <xdr:colOff>504825</xdr:colOff>
                <xdr:row>4</xdr:row>
                <xdr:rowOff>28575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N109"/>
  <sheetViews>
    <sheetView tabSelected="1" zoomScale="85" zoomScaleNormal="85" workbookViewId="0"/>
  </sheetViews>
  <sheetFormatPr defaultRowHeight="12.75"/>
  <cols>
    <col min="1" max="1" width="12.7109375" style="4" customWidth="1"/>
    <col min="2" max="2" width="17" style="4" customWidth="1"/>
    <col min="3" max="4" width="18.42578125" style="4" customWidth="1"/>
    <col min="5" max="5" width="22.28515625" style="4" customWidth="1"/>
    <col min="6" max="6" width="24.140625" style="4" customWidth="1"/>
    <col min="7" max="8" width="17.42578125" style="4" customWidth="1"/>
    <col min="9" max="9" width="15.85546875" style="4" customWidth="1"/>
    <col min="10" max="10" width="21.85546875" style="4" customWidth="1"/>
    <col min="11" max="11" width="15.85546875" style="4" customWidth="1"/>
    <col min="12" max="12" width="9.140625" style="4"/>
    <col min="13" max="13" width="14.7109375" style="4" customWidth="1"/>
    <col min="14" max="16384" width="9.140625" style="4"/>
  </cols>
  <sheetData>
    <row r="1" spans="1:14">
      <c r="A1" s="139" t="s">
        <v>3057</v>
      </c>
      <c r="B1" s="139" t="s">
        <v>3058</v>
      </c>
      <c r="C1" s="139" t="s">
        <v>3059</v>
      </c>
      <c r="D1" s="139" t="s">
        <v>3060</v>
      </c>
      <c r="E1" s="139" t="s">
        <v>3061</v>
      </c>
      <c r="F1" s="139" t="s">
        <v>3062</v>
      </c>
      <c r="G1" s="139" t="s">
        <v>3063</v>
      </c>
      <c r="H1" s="139" t="s">
        <v>3064</v>
      </c>
      <c r="I1" s="139" t="s">
        <v>3065</v>
      </c>
      <c r="J1" s="139" t="s">
        <v>3066</v>
      </c>
      <c r="K1" s="139" t="s">
        <v>3067</v>
      </c>
      <c r="L1" s="139" t="s">
        <v>3068</v>
      </c>
      <c r="M1" s="139" t="s">
        <v>3069</v>
      </c>
      <c r="N1" s="139" t="s">
        <v>3070</v>
      </c>
    </row>
    <row r="2" spans="1:14" ht="14.25">
      <c r="A2" s="140" t="s">
        <v>3071</v>
      </c>
      <c r="B2" s="141">
        <v>40179</v>
      </c>
      <c r="C2" s="142">
        <v>1001</v>
      </c>
      <c r="D2" s="142" t="s">
        <v>415</v>
      </c>
      <c r="E2" s="142" t="s">
        <v>3072</v>
      </c>
      <c r="F2" s="142" t="s">
        <v>3073</v>
      </c>
      <c r="G2" s="142" t="s">
        <v>3074</v>
      </c>
      <c r="H2" s="142" t="s">
        <v>3075</v>
      </c>
      <c r="I2" s="4" t="s">
        <v>3076</v>
      </c>
      <c r="J2" s="4" t="s">
        <v>3077</v>
      </c>
      <c r="K2" s="4" t="s">
        <v>3078</v>
      </c>
      <c r="L2" s="4">
        <v>10</v>
      </c>
      <c r="M2" s="143">
        <v>10</v>
      </c>
      <c r="N2" s="143">
        <f>M2*L2</f>
        <v>100</v>
      </c>
    </row>
    <row r="3" spans="1:14" ht="14.25">
      <c r="A3" s="140" t="s">
        <v>3071</v>
      </c>
      <c r="B3" s="141">
        <v>40179</v>
      </c>
      <c r="C3" s="142">
        <v>1001</v>
      </c>
      <c r="D3" s="142" t="s">
        <v>415</v>
      </c>
      <c r="E3" s="142" t="s">
        <v>3072</v>
      </c>
      <c r="F3" s="142" t="s">
        <v>3073</v>
      </c>
      <c r="G3" s="142" t="s">
        <v>3074</v>
      </c>
      <c r="H3" s="142" t="s">
        <v>3075</v>
      </c>
      <c r="I3" s="4" t="s">
        <v>3079</v>
      </c>
      <c r="J3" s="4" t="s">
        <v>3080</v>
      </c>
      <c r="K3" s="4" t="s">
        <v>3078</v>
      </c>
      <c r="L3" s="4">
        <v>20</v>
      </c>
      <c r="M3" s="143">
        <v>30</v>
      </c>
      <c r="N3" s="143">
        <f t="shared" ref="N3:N59" si="0">M3*L3</f>
        <v>600</v>
      </c>
    </row>
    <row r="4" spans="1:14" ht="14.25">
      <c r="A4" s="140" t="s">
        <v>3071</v>
      </c>
      <c r="B4" s="141">
        <v>40179</v>
      </c>
      <c r="C4" s="142">
        <v>1001</v>
      </c>
      <c r="D4" s="142" t="s">
        <v>415</v>
      </c>
      <c r="E4" s="142" t="s">
        <v>3072</v>
      </c>
      <c r="F4" s="142" t="s">
        <v>3073</v>
      </c>
      <c r="G4" s="142" t="s">
        <v>3074</v>
      </c>
      <c r="H4" s="142" t="s">
        <v>3075</v>
      </c>
      <c r="I4" s="4" t="s">
        <v>3081</v>
      </c>
      <c r="J4" s="4" t="s">
        <v>3082</v>
      </c>
      <c r="K4" s="4" t="s">
        <v>3083</v>
      </c>
      <c r="L4" s="4">
        <v>30</v>
      </c>
      <c r="M4" s="143">
        <v>5</v>
      </c>
      <c r="N4" s="143">
        <f t="shared" si="0"/>
        <v>150</v>
      </c>
    </row>
    <row r="5" spans="1:14" ht="14.25">
      <c r="A5" s="140" t="s">
        <v>3084</v>
      </c>
      <c r="B5" s="141">
        <v>40180</v>
      </c>
      <c r="C5" s="142">
        <v>1002</v>
      </c>
      <c r="D5" s="142" t="s">
        <v>418</v>
      </c>
      <c r="E5" s="142" t="s">
        <v>3085</v>
      </c>
      <c r="F5" s="142" t="s">
        <v>3086</v>
      </c>
      <c r="G5" s="142" t="s">
        <v>3087</v>
      </c>
      <c r="H5" s="142" t="s">
        <v>3075</v>
      </c>
      <c r="I5" s="4" t="s">
        <v>3088</v>
      </c>
      <c r="J5" s="4" t="s">
        <v>3089</v>
      </c>
      <c r="K5" s="4" t="s">
        <v>3090</v>
      </c>
      <c r="L5" s="4">
        <v>40</v>
      </c>
      <c r="M5" s="143">
        <v>125</v>
      </c>
      <c r="N5" s="143">
        <f t="shared" si="0"/>
        <v>5000</v>
      </c>
    </row>
    <row r="6" spans="1:14" ht="14.25">
      <c r="A6" s="140" t="s">
        <v>3084</v>
      </c>
      <c r="B6" s="141">
        <v>40180</v>
      </c>
      <c r="C6" s="142">
        <v>1002</v>
      </c>
      <c r="D6" s="142" t="s">
        <v>418</v>
      </c>
      <c r="E6" s="142" t="s">
        <v>3085</v>
      </c>
      <c r="F6" s="142" t="s">
        <v>3086</v>
      </c>
      <c r="G6" s="142" t="s">
        <v>3087</v>
      </c>
      <c r="H6" s="142" t="s">
        <v>3075</v>
      </c>
      <c r="I6" s="4" t="s">
        <v>3091</v>
      </c>
      <c r="J6" s="4" t="s">
        <v>3092</v>
      </c>
      <c r="K6" s="4" t="s">
        <v>3083</v>
      </c>
      <c r="L6" s="4">
        <v>50</v>
      </c>
      <c r="M6" s="143">
        <v>90</v>
      </c>
      <c r="N6" s="143">
        <f t="shared" si="0"/>
        <v>4500</v>
      </c>
    </row>
    <row r="7" spans="1:14" ht="14.25">
      <c r="A7" s="140" t="s">
        <v>3084</v>
      </c>
      <c r="B7" s="141">
        <v>40180</v>
      </c>
      <c r="C7" s="142">
        <v>1002</v>
      </c>
      <c r="D7" s="142" t="s">
        <v>418</v>
      </c>
      <c r="E7" s="142" t="s">
        <v>3085</v>
      </c>
      <c r="F7" s="142" t="s">
        <v>3086</v>
      </c>
      <c r="G7" s="142" t="s">
        <v>3087</v>
      </c>
      <c r="H7" s="142" t="s">
        <v>3075</v>
      </c>
      <c r="I7" s="4" t="s">
        <v>3093</v>
      </c>
      <c r="J7" s="4" t="s">
        <v>3094</v>
      </c>
      <c r="K7" s="4" t="s">
        <v>3083</v>
      </c>
      <c r="L7" s="4">
        <v>10</v>
      </c>
      <c r="M7" s="143">
        <v>60</v>
      </c>
      <c r="N7" s="143">
        <f t="shared" si="0"/>
        <v>600</v>
      </c>
    </row>
    <row r="8" spans="1:14" ht="14.25">
      <c r="A8" s="140" t="s">
        <v>3095</v>
      </c>
      <c r="B8" s="141">
        <v>40181</v>
      </c>
      <c r="C8" s="142">
        <v>1003</v>
      </c>
      <c r="D8" s="142" t="s">
        <v>422</v>
      </c>
      <c r="E8" s="142" t="s">
        <v>3096</v>
      </c>
      <c r="F8" s="142" t="s">
        <v>3097</v>
      </c>
      <c r="G8" s="142" t="s">
        <v>3074</v>
      </c>
      <c r="H8" s="142" t="s">
        <v>3075</v>
      </c>
      <c r="I8" s="4" t="s">
        <v>3098</v>
      </c>
      <c r="J8" s="4" t="s">
        <v>3099</v>
      </c>
      <c r="K8" s="4" t="s">
        <v>3078</v>
      </c>
      <c r="L8" s="4">
        <v>20</v>
      </c>
      <c r="M8" s="143">
        <v>90</v>
      </c>
      <c r="N8" s="143">
        <f t="shared" si="0"/>
        <v>1800</v>
      </c>
    </row>
    <row r="9" spans="1:14" ht="14.25">
      <c r="A9" s="140" t="s">
        <v>3095</v>
      </c>
      <c r="B9" s="141">
        <v>40181</v>
      </c>
      <c r="C9" s="142">
        <v>1003</v>
      </c>
      <c r="D9" s="142" t="s">
        <v>422</v>
      </c>
      <c r="E9" s="142" t="s">
        <v>3096</v>
      </c>
      <c r="F9" s="142" t="s">
        <v>3097</v>
      </c>
      <c r="G9" s="142" t="s">
        <v>3074</v>
      </c>
      <c r="H9" s="142" t="s">
        <v>3075</v>
      </c>
      <c r="I9" s="4" t="s">
        <v>3088</v>
      </c>
      <c r="J9" s="4" t="s">
        <v>3089</v>
      </c>
      <c r="K9" s="4" t="s">
        <v>3090</v>
      </c>
      <c r="L9" s="4">
        <v>30</v>
      </c>
      <c r="M9" s="143">
        <v>125</v>
      </c>
      <c r="N9" s="143">
        <f t="shared" si="0"/>
        <v>3750</v>
      </c>
    </row>
    <row r="10" spans="1:14" ht="14.25">
      <c r="A10" s="140" t="s">
        <v>3100</v>
      </c>
      <c r="B10" s="141">
        <v>40210</v>
      </c>
      <c r="C10" s="142">
        <v>1010</v>
      </c>
      <c r="D10" s="142" t="s">
        <v>423</v>
      </c>
      <c r="E10" s="142" t="s">
        <v>3101</v>
      </c>
      <c r="F10" s="142" t="s">
        <v>3102</v>
      </c>
      <c r="G10" s="142" t="s">
        <v>3103</v>
      </c>
      <c r="H10" s="142" t="s">
        <v>3075</v>
      </c>
      <c r="I10" s="4" t="s">
        <v>3091</v>
      </c>
      <c r="J10" s="4" t="s">
        <v>3104</v>
      </c>
      <c r="K10" s="4" t="s">
        <v>3090</v>
      </c>
      <c r="L10" s="4">
        <v>40</v>
      </c>
      <c r="M10" s="143">
        <v>30</v>
      </c>
      <c r="N10" s="143">
        <f t="shared" si="0"/>
        <v>1200</v>
      </c>
    </row>
    <row r="11" spans="1:14" ht="14.25">
      <c r="A11" s="140" t="s">
        <v>3100</v>
      </c>
      <c r="B11" s="141">
        <v>40210</v>
      </c>
      <c r="C11" s="142">
        <v>1010</v>
      </c>
      <c r="D11" s="142" t="s">
        <v>423</v>
      </c>
      <c r="E11" s="142" t="s">
        <v>3101</v>
      </c>
      <c r="F11" s="142" t="s">
        <v>3102</v>
      </c>
      <c r="G11" s="142" t="s">
        <v>3103</v>
      </c>
      <c r="H11" s="142" t="s">
        <v>3075</v>
      </c>
      <c r="I11" s="4" t="s">
        <v>3093</v>
      </c>
      <c r="J11" s="4" t="s">
        <v>3094</v>
      </c>
      <c r="K11" s="4" t="s">
        <v>3083</v>
      </c>
      <c r="L11" s="4">
        <v>50</v>
      </c>
      <c r="M11" s="143">
        <v>60</v>
      </c>
      <c r="N11" s="143">
        <f t="shared" si="0"/>
        <v>3000</v>
      </c>
    </row>
    <row r="12" spans="1:14" ht="14.25">
      <c r="A12" s="140" t="s">
        <v>3105</v>
      </c>
      <c r="B12" s="141">
        <v>40211</v>
      </c>
      <c r="C12" s="142">
        <v>1005</v>
      </c>
      <c r="D12" s="142" t="s">
        <v>427</v>
      </c>
      <c r="E12" s="142" t="s">
        <v>3106</v>
      </c>
      <c r="F12" s="142" t="s">
        <v>3102</v>
      </c>
      <c r="G12" s="142" t="s">
        <v>3103</v>
      </c>
      <c r="H12" s="142" t="s">
        <v>3075</v>
      </c>
      <c r="I12" s="4" t="s">
        <v>3098</v>
      </c>
      <c r="J12" s="4" t="s">
        <v>3099</v>
      </c>
      <c r="K12" s="4" t="s">
        <v>3078</v>
      </c>
      <c r="L12" s="4">
        <v>40</v>
      </c>
      <c r="M12" s="143">
        <v>90</v>
      </c>
      <c r="N12" s="143">
        <f t="shared" si="0"/>
        <v>3600</v>
      </c>
    </row>
    <row r="13" spans="1:14" ht="14.25">
      <c r="A13" s="140" t="s">
        <v>3105</v>
      </c>
      <c r="B13" s="141">
        <v>40211</v>
      </c>
      <c r="C13" s="142">
        <v>1005</v>
      </c>
      <c r="D13" s="142" t="s">
        <v>427</v>
      </c>
      <c r="E13" s="142" t="s">
        <v>3106</v>
      </c>
      <c r="F13" s="142" t="s">
        <v>3102</v>
      </c>
      <c r="G13" s="142" t="s">
        <v>3103</v>
      </c>
      <c r="H13" s="142" t="s">
        <v>3075</v>
      </c>
      <c r="I13" s="4" t="s">
        <v>3088</v>
      </c>
      <c r="J13" s="4" t="s">
        <v>3089</v>
      </c>
      <c r="K13" s="4" t="s">
        <v>3090</v>
      </c>
      <c r="L13" s="4">
        <v>50</v>
      </c>
      <c r="M13" s="143">
        <v>125</v>
      </c>
      <c r="N13" s="143">
        <f t="shared" si="0"/>
        <v>6250</v>
      </c>
    </row>
    <row r="14" spans="1:14" ht="14.25">
      <c r="A14" s="140" t="s">
        <v>3107</v>
      </c>
      <c r="B14" s="141">
        <v>40212</v>
      </c>
      <c r="C14" s="142">
        <v>1012</v>
      </c>
      <c r="D14" s="142" t="s">
        <v>429</v>
      </c>
      <c r="E14" s="142" t="s">
        <v>3108</v>
      </c>
      <c r="F14" s="142" t="s">
        <v>3109</v>
      </c>
      <c r="G14" s="142" t="s">
        <v>3110</v>
      </c>
      <c r="H14" s="142" t="s">
        <v>3075</v>
      </c>
      <c r="I14" s="4" t="s">
        <v>3091</v>
      </c>
      <c r="J14" s="4" t="s">
        <v>3104</v>
      </c>
      <c r="K14" s="4" t="s">
        <v>3090</v>
      </c>
      <c r="L14" s="4">
        <v>10</v>
      </c>
      <c r="M14" s="143">
        <v>30</v>
      </c>
      <c r="N14" s="143">
        <f t="shared" si="0"/>
        <v>300</v>
      </c>
    </row>
    <row r="15" spans="1:14" ht="14.25">
      <c r="A15" s="140" t="s">
        <v>3107</v>
      </c>
      <c r="B15" s="141">
        <v>40212</v>
      </c>
      <c r="C15" s="142">
        <v>1012</v>
      </c>
      <c r="D15" s="142" t="s">
        <v>429</v>
      </c>
      <c r="E15" s="142" t="s">
        <v>3108</v>
      </c>
      <c r="F15" s="142" t="s">
        <v>3109</v>
      </c>
      <c r="G15" s="142" t="s">
        <v>3110</v>
      </c>
      <c r="H15" s="142" t="s">
        <v>3075</v>
      </c>
      <c r="I15" s="4" t="s">
        <v>3093</v>
      </c>
      <c r="J15" s="4" t="s">
        <v>3094</v>
      </c>
      <c r="K15" s="4" t="s">
        <v>3083</v>
      </c>
      <c r="L15" s="4">
        <v>20</v>
      </c>
      <c r="M15" s="143">
        <v>60</v>
      </c>
      <c r="N15" s="143">
        <f t="shared" si="0"/>
        <v>1200</v>
      </c>
    </row>
    <row r="16" spans="1:14" ht="14.25">
      <c r="A16" s="140" t="s">
        <v>3111</v>
      </c>
      <c r="B16" s="141">
        <v>40247</v>
      </c>
      <c r="C16" s="142">
        <v>1007</v>
      </c>
      <c r="D16" s="142" t="s">
        <v>432</v>
      </c>
      <c r="E16" s="142" t="s">
        <v>3112</v>
      </c>
      <c r="F16" s="142" t="s">
        <v>3113</v>
      </c>
      <c r="G16" s="142" t="s">
        <v>3110</v>
      </c>
      <c r="H16" s="142" t="s">
        <v>3075</v>
      </c>
      <c r="I16" s="4" t="s">
        <v>3098</v>
      </c>
      <c r="J16" s="4" t="s">
        <v>3099</v>
      </c>
      <c r="K16" s="4" t="s">
        <v>3078</v>
      </c>
      <c r="L16" s="4">
        <v>40</v>
      </c>
      <c r="M16" s="143">
        <v>90</v>
      </c>
      <c r="N16" s="143">
        <f t="shared" si="0"/>
        <v>3600</v>
      </c>
    </row>
    <row r="17" spans="1:14" ht="14.25">
      <c r="A17" s="140" t="s">
        <v>3111</v>
      </c>
      <c r="B17" s="141">
        <v>40247</v>
      </c>
      <c r="C17" s="142">
        <v>1007</v>
      </c>
      <c r="D17" s="142" t="s">
        <v>432</v>
      </c>
      <c r="E17" s="142" t="s">
        <v>3112</v>
      </c>
      <c r="F17" s="142" t="s">
        <v>3113</v>
      </c>
      <c r="G17" s="142" t="s">
        <v>3110</v>
      </c>
      <c r="H17" s="142" t="s">
        <v>3075</v>
      </c>
      <c r="I17" s="4" t="s">
        <v>3076</v>
      </c>
      <c r="J17" s="4" t="s">
        <v>3077</v>
      </c>
      <c r="K17" s="4" t="s">
        <v>3078</v>
      </c>
      <c r="L17" s="4">
        <v>50</v>
      </c>
      <c r="M17" s="143">
        <v>10</v>
      </c>
      <c r="N17" s="143">
        <f t="shared" si="0"/>
        <v>500</v>
      </c>
    </row>
    <row r="18" spans="1:14" ht="14.25">
      <c r="A18" s="140" t="s">
        <v>3111</v>
      </c>
      <c r="B18" s="141">
        <v>40247</v>
      </c>
      <c r="C18" s="142">
        <v>1007</v>
      </c>
      <c r="D18" s="142" t="s">
        <v>432</v>
      </c>
      <c r="E18" s="142" t="s">
        <v>3112</v>
      </c>
      <c r="F18" s="142" t="s">
        <v>3113</v>
      </c>
      <c r="G18" s="142" t="s">
        <v>3110</v>
      </c>
      <c r="H18" s="142" t="s">
        <v>3075</v>
      </c>
      <c r="I18" s="4" t="s">
        <v>3079</v>
      </c>
      <c r="J18" s="4" t="s">
        <v>3080</v>
      </c>
      <c r="K18" s="4" t="s">
        <v>3078</v>
      </c>
      <c r="L18" s="4">
        <v>10</v>
      </c>
      <c r="M18" s="143">
        <v>30</v>
      </c>
      <c r="N18" s="143">
        <f t="shared" si="0"/>
        <v>300</v>
      </c>
    </row>
    <row r="19" spans="1:14" ht="14.25">
      <c r="A19" s="140" t="s">
        <v>3111</v>
      </c>
      <c r="B19" s="141">
        <v>40247</v>
      </c>
      <c r="C19" s="142">
        <v>1007</v>
      </c>
      <c r="D19" s="142" t="s">
        <v>432</v>
      </c>
      <c r="E19" s="142" t="s">
        <v>3112</v>
      </c>
      <c r="F19" s="142" t="s">
        <v>3113</v>
      </c>
      <c r="G19" s="142" t="s">
        <v>3110</v>
      </c>
      <c r="H19" s="142" t="s">
        <v>3075</v>
      </c>
      <c r="I19" s="4" t="s">
        <v>3081</v>
      </c>
      <c r="J19" s="4" t="s">
        <v>3082</v>
      </c>
      <c r="K19" s="4" t="s">
        <v>3083</v>
      </c>
      <c r="L19" s="4">
        <v>20</v>
      </c>
      <c r="M19" s="143">
        <v>5</v>
      </c>
      <c r="N19" s="143">
        <f t="shared" si="0"/>
        <v>100</v>
      </c>
    </row>
    <row r="20" spans="1:14" ht="14.25">
      <c r="A20" s="140" t="s">
        <v>3114</v>
      </c>
      <c r="B20" s="141">
        <v>40257</v>
      </c>
      <c r="C20" s="142">
        <v>1008</v>
      </c>
      <c r="D20" s="142" t="s">
        <v>434</v>
      </c>
      <c r="E20" s="142" t="s">
        <v>3115</v>
      </c>
      <c r="F20" s="142" t="s">
        <v>3116</v>
      </c>
      <c r="G20" s="142" t="s">
        <v>3074</v>
      </c>
      <c r="H20" s="142" t="s">
        <v>3075</v>
      </c>
      <c r="I20" s="4" t="s">
        <v>3088</v>
      </c>
      <c r="J20" s="4" t="s">
        <v>3092</v>
      </c>
      <c r="K20" s="4" t="s">
        <v>3083</v>
      </c>
      <c r="L20" s="4">
        <v>40</v>
      </c>
      <c r="M20" s="143">
        <v>90</v>
      </c>
      <c r="N20" s="143">
        <f t="shared" si="0"/>
        <v>3600</v>
      </c>
    </row>
    <row r="21" spans="1:14" ht="14.25">
      <c r="A21" s="140" t="s">
        <v>3114</v>
      </c>
      <c r="B21" s="141">
        <v>40257</v>
      </c>
      <c r="C21" s="142">
        <v>1008</v>
      </c>
      <c r="D21" s="142" t="s">
        <v>434</v>
      </c>
      <c r="E21" s="142" t="s">
        <v>3115</v>
      </c>
      <c r="F21" s="142" t="s">
        <v>3116</v>
      </c>
      <c r="G21" s="142" t="s">
        <v>3074</v>
      </c>
      <c r="H21" s="142" t="s">
        <v>3075</v>
      </c>
      <c r="I21" s="4" t="s">
        <v>3091</v>
      </c>
      <c r="J21" s="4" t="s">
        <v>3104</v>
      </c>
      <c r="K21" s="4" t="s">
        <v>3090</v>
      </c>
      <c r="L21" s="4">
        <v>50</v>
      </c>
      <c r="M21" s="143">
        <v>30</v>
      </c>
      <c r="N21" s="143">
        <f t="shared" si="0"/>
        <v>1500</v>
      </c>
    </row>
    <row r="22" spans="1:14" ht="14.25">
      <c r="A22" s="140" t="s">
        <v>3114</v>
      </c>
      <c r="B22" s="141">
        <v>40257</v>
      </c>
      <c r="C22" s="142">
        <v>1008</v>
      </c>
      <c r="D22" s="142" t="s">
        <v>434</v>
      </c>
      <c r="E22" s="142" t="s">
        <v>3115</v>
      </c>
      <c r="F22" s="142" t="s">
        <v>3116</v>
      </c>
      <c r="G22" s="142" t="s">
        <v>3074</v>
      </c>
      <c r="H22" s="142" t="s">
        <v>3075</v>
      </c>
      <c r="I22" s="4" t="s">
        <v>3093</v>
      </c>
      <c r="J22" s="4" t="s">
        <v>3094</v>
      </c>
      <c r="K22" s="4" t="s">
        <v>3083</v>
      </c>
      <c r="L22" s="4">
        <v>40</v>
      </c>
      <c r="M22" s="143">
        <v>60</v>
      </c>
      <c r="N22" s="143">
        <f t="shared" si="0"/>
        <v>2400</v>
      </c>
    </row>
    <row r="23" spans="1:14" ht="14.25">
      <c r="A23" s="140" t="s">
        <v>3114</v>
      </c>
      <c r="B23" s="141">
        <v>40257</v>
      </c>
      <c r="C23" s="142">
        <v>1008</v>
      </c>
      <c r="D23" s="142" t="s">
        <v>434</v>
      </c>
      <c r="E23" s="142" t="s">
        <v>3115</v>
      </c>
      <c r="F23" s="142" t="s">
        <v>3116</v>
      </c>
      <c r="G23" s="142" t="s">
        <v>3074</v>
      </c>
      <c r="H23" s="142" t="s">
        <v>3075</v>
      </c>
      <c r="I23" s="4" t="s">
        <v>3098</v>
      </c>
      <c r="J23" s="4" t="s">
        <v>3099</v>
      </c>
      <c r="K23" s="4" t="s">
        <v>3078</v>
      </c>
      <c r="L23" s="4">
        <v>50</v>
      </c>
      <c r="M23" s="143">
        <v>90</v>
      </c>
      <c r="N23" s="143">
        <f t="shared" si="0"/>
        <v>4500</v>
      </c>
    </row>
    <row r="24" spans="1:14" ht="14.25">
      <c r="A24" s="140" t="s">
        <v>3117</v>
      </c>
      <c r="B24" s="141">
        <v>40238</v>
      </c>
      <c r="C24" s="142">
        <v>1009</v>
      </c>
      <c r="D24" s="142" t="s">
        <v>436</v>
      </c>
      <c r="E24" s="142" t="s">
        <v>3118</v>
      </c>
      <c r="F24" s="142" t="s">
        <v>3102</v>
      </c>
      <c r="G24" s="142" t="s">
        <v>3103</v>
      </c>
      <c r="H24" s="142" t="s">
        <v>3075</v>
      </c>
      <c r="I24" s="4" t="s">
        <v>3088</v>
      </c>
      <c r="J24" s="4" t="s">
        <v>3089</v>
      </c>
      <c r="K24" s="4" t="s">
        <v>3090</v>
      </c>
      <c r="L24" s="4">
        <v>40</v>
      </c>
      <c r="M24" s="143">
        <v>125</v>
      </c>
      <c r="N24" s="143">
        <f t="shared" si="0"/>
        <v>5000</v>
      </c>
    </row>
    <row r="25" spans="1:14" ht="14.25">
      <c r="A25" s="140" t="s">
        <v>3117</v>
      </c>
      <c r="B25" s="141">
        <v>40238</v>
      </c>
      <c r="C25" s="142">
        <v>1009</v>
      </c>
      <c r="D25" s="142" t="s">
        <v>436</v>
      </c>
      <c r="E25" s="142" t="s">
        <v>3118</v>
      </c>
      <c r="F25" s="142" t="s">
        <v>3102</v>
      </c>
      <c r="G25" s="142" t="s">
        <v>3103</v>
      </c>
      <c r="H25" s="142" t="s">
        <v>3075</v>
      </c>
      <c r="I25" s="4" t="s">
        <v>3091</v>
      </c>
      <c r="J25" s="4" t="s">
        <v>3104</v>
      </c>
      <c r="K25" s="4" t="s">
        <v>3090</v>
      </c>
      <c r="L25" s="4">
        <v>50</v>
      </c>
      <c r="M25" s="143">
        <v>30</v>
      </c>
      <c r="N25" s="143">
        <f t="shared" si="0"/>
        <v>1500</v>
      </c>
    </row>
    <row r="26" spans="1:14" ht="14.25">
      <c r="A26" s="140" t="s">
        <v>3117</v>
      </c>
      <c r="B26" s="141">
        <v>40238</v>
      </c>
      <c r="C26" s="142">
        <v>1009</v>
      </c>
      <c r="D26" s="142" t="s">
        <v>436</v>
      </c>
      <c r="E26" s="142" t="s">
        <v>3118</v>
      </c>
      <c r="F26" s="142" t="s">
        <v>3102</v>
      </c>
      <c r="G26" s="142" t="s">
        <v>3103</v>
      </c>
      <c r="H26" s="142" t="s">
        <v>3075</v>
      </c>
      <c r="I26" s="4" t="s">
        <v>3079</v>
      </c>
      <c r="J26" s="4" t="s">
        <v>3080</v>
      </c>
      <c r="K26" s="4" t="s">
        <v>3078</v>
      </c>
      <c r="L26" s="4">
        <v>10</v>
      </c>
      <c r="M26" s="143">
        <v>30</v>
      </c>
      <c r="N26" s="143">
        <f t="shared" si="0"/>
        <v>300</v>
      </c>
    </row>
    <row r="27" spans="1:14" ht="14.25">
      <c r="A27" s="140" t="s">
        <v>3117</v>
      </c>
      <c r="B27" s="141">
        <v>40238</v>
      </c>
      <c r="C27" s="142">
        <v>1009</v>
      </c>
      <c r="D27" s="142" t="s">
        <v>436</v>
      </c>
      <c r="E27" s="142" t="s">
        <v>3118</v>
      </c>
      <c r="F27" s="142" t="s">
        <v>3102</v>
      </c>
      <c r="G27" s="142" t="s">
        <v>3103</v>
      </c>
      <c r="H27" s="142" t="s">
        <v>3075</v>
      </c>
      <c r="I27" s="4" t="s">
        <v>3081</v>
      </c>
      <c r="J27" s="4" t="s">
        <v>3092</v>
      </c>
      <c r="K27" s="4" t="s">
        <v>3083</v>
      </c>
      <c r="L27" s="4">
        <v>20</v>
      </c>
      <c r="M27" s="143">
        <v>90</v>
      </c>
      <c r="N27" s="143">
        <f t="shared" si="0"/>
        <v>1800</v>
      </c>
    </row>
    <row r="28" spans="1:14" ht="14.25">
      <c r="A28" s="140" t="s">
        <v>3119</v>
      </c>
      <c r="B28" s="141">
        <v>40269</v>
      </c>
      <c r="C28" s="142">
        <v>1018</v>
      </c>
      <c r="D28" s="142" t="s">
        <v>437</v>
      </c>
      <c r="E28" s="142" t="s">
        <v>3120</v>
      </c>
      <c r="F28" s="142" t="s">
        <v>3109</v>
      </c>
      <c r="G28" s="142" t="s">
        <v>3110</v>
      </c>
      <c r="H28" s="142" t="s">
        <v>3075</v>
      </c>
      <c r="I28" s="4" t="s">
        <v>3088</v>
      </c>
      <c r="J28" s="4" t="s">
        <v>3089</v>
      </c>
      <c r="K28" s="4" t="s">
        <v>3090</v>
      </c>
      <c r="L28" s="4">
        <v>40</v>
      </c>
      <c r="M28" s="143">
        <v>125</v>
      </c>
      <c r="N28" s="143">
        <f t="shared" si="0"/>
        <v>5000</v>
      </c>
    </row>
    <row r="29" spans="1:14" ht="14.25">
      <c r="A29" s="140" t="s">
        <v>3119</v>
      </c>
      <c r="B29" s="141">
        <v>40269</v>
      </c>
      <c r="C29" s="142">
        <v>1018</v>
      </c>
      <c r="D29" s="142" t="s">
        <v>437</v>
      </c>
      <c r="E29" s="142" t="s">
        <v>3120</v>
      </c>
      <c r="F29" s="142" t="s">
        <v>3109</v>
      </c>
      <c r="G29" s="142" t="s">
        <v>3110</v>
      </c>
      <c r="H29" s="142" t="s">
        <v>3075</v>
      </c>
      <c r="I29" s="4" t="s">
        <v>3091</v>
      </c>
      <c r="J29" s="4" t="s">
        <v>3104</v>
      </c>
      <c r="K29" s="4" t="s">
        <v>3090</v>
      </c>
      <c r="L29" s="4">
        <v>50</v>
      </c>
      <c r="M29" s="143">
        <v>30</v>
      </c>
      <c r="N29" s="143">
        <f t="shared" si="0"/>
        <v>1500</v>
      </c>
    </row>
    <row r="30" spans="1:14" ht="14.25">
      <c r="A30" s="140" t="s">
        <v>3119</v>
      </c>
      <c r="B30" s="141">
        <v>40269</v>
      </c>
      <c r="C30" s="142">
        <v>1018</v>
      </c>
      <c r="D30" s="142" t="s">
        <v>437</v>
      </c>
      <c r="E30" s="142" t="s">
        <v>3120</v>
      </c>
      <c r="F30" s="142" t="s">
        <v>3109</v>
      </c>
      <c r="G30" s="142" t="s">
        <v>3110</v>
      </c>
      <c r="H30" s="142" t="s">
        <v>3075</v>
      </c>
      <c r="I30" s="4" t="s">
        <v>3093</v>
      </c>
      <c r="J30" s="4" t="s">
        <v>3094</v>
      </c>
      <c r="K30" s="4" t="s">
        <v>3083</v>
      </c>
      <c r="L30" s="4">
        <v>10</v>
      </c>
      <c r="M30" s="143">
        <v>60</v>
      </c>
      <c r="N30" s="143">
        <f t="shared" si="0"/>
        <v>600</v>
      </c>
    </row>
    <row r="31" spans="1:14" ht="14.25">
      <c r="A31" s="140" t="s">
        <v>3119</v>
      </c>
      <c r="B31" s="141">
        <v>40269</v>
      </c>
      <c r="C31" s="142">
        <v>1018</v>
      </c>
      <c r="D31" s="142" t="s">
        <v>437</v>
      </c>
      <c r="E31" s="142" t="s">
        <v>3120</v>
      </c>
      <c r="F31" s="142" t="s">
        <v>3109</v>
      </c>
      <c r="G31" s="142" t="s">
        <v>3110</v>
      </c>
      <c r="H31" s="142" t="s">
        <v>3075</v>
      </c>
      <c r="I31" s="4" t="s">
        <v>3098</v>
      </c>
      <c r="J31" s="4" t="s">
        <v>3099</v>
      </c>
      <c r="K31" s="4" t="s">
        <v>3078</v>
      </c>
      <c r="L31" s="4">
        <v>20</v>
      </c>
      <c r="M31" s="143">
        <v>90</v>
      </c>
      <c r="N31" s="143">
        <f t="shared" si="0"/>
        <v>1800</v>
      </c>
    </row>
    <row r="32" spans="1:14" ht="14.25">
      <c r="A32" s="140" t="s">
        <v>3121</v>
      </c>
      <c r="B32" s="141">
        <v>40278</v>
      </c>
      <c r="C32" s="142">
        <v>1019</v>
      </c>
      <c r="D32" s="142" t="s">
        <v>438</v>
      </c>
      <c r="E32" s="142" t="s">
        <v>3122</v>
      </c>
      <c r="F32" s="142" t="s">
        <v>3102</v>
      </c>
      <c r="G32" s="142" t="s">
        <v>3103</v>
      </c>
      <c r="H32" s="142" t="s">
        <v>3075</v>
      </c>
      <c r="I32" s="4" t="s">
        <v>3088</v>
      </c>
      <c r="J32" s="4" t="s">
        <v>3089</v>
      </c>
      <c r="K32" s="4" t="s">
        <v>3090</v>
      </c>
      <c r="L32" s="4">
        <v>40</v>
      </c>
      <c r="M32" s="143">
        <v>125</v>
      </c>
      <c r="N32" s="143">
        <f t="shared" si="0"/>
        <v>5000</v>
      </c>
    </row>
    <row r="33" spans="1:14" ht="14.25">
      <c r="A33" s="140" t="s">
        <v>3121</v>
      </c>
      <c r="B33" s="141">
        <v>40278</v>
      </c>
      <c r="C33" s="142">
        <v>1019</v>
      </c>
      <c r="D33" s="142" t="s">
        <v>438</v>
      </c>
      <c r="E33" s="142" t="s">
        <v>3122</v>
      </c>
      <c r="F33" s="142" t="s">
        <v>3102</v>
      </c>
      <c r="G33" s="142" t="s">
        <v>3103</v>
      </c>
      <c r="H33" s="142" t="s">
        <v>3075</v>
      </c>
      <c r="I33" s="4" t="s">
        <v>3091</v>
      </c>
      <c r="J33" s="4" t="s">
        <v>3104</v>
      </c>
      <c r="K33" s="4" t="s">
        <v>3090</v>
      </c>
      <c r="L33" s="4">
        <v>50</v>
      </c>
      <c r="M33" s="143">
        <v>30</v>
      </c>
      <c r="N33" s="143">
        <f t="shared" si="0"/>
        <v>1500</v>
      </c>
    </row>
    <row r="34" spans="1:14" ht="14.25">
      <c r="A34" s="140" t="s">
        <v>3121</v>
      </c>
      <c r="B34" s="141">
        <v>40278</v>
      </c>
      <c r="C34" s="142">
        <v>1019</v>
      </c>
      <c r="D34" s="142" t="s">
        <v>438</v>
      </c>
      <c r="E34" s="142" t="s">
        <v>3122</v>
      </c>
      <c r="F34" s="142" t="s">
        <v>3102</v>
      </c>
      <c r="G34" s="142" t="s">
        <v>3103</v>
      </c>
      <c r="H34" s="142" t="s">
        <v>3075</v>
      </c>
      <c r="I34" s="4" t="s">
        <v>3093</v>
      </c>
      <c r="J34" s="4" t="s">
        <v>3094</v>
      </c>
      <c r="K34" s="4" t="s">
        <v>3083</v>
      </c>
      <c r="L34" s="4">
        <v>40</v>
      </c>
      <c r="M34" s="143">
        <v>60</v>
      </c>
      <c r="N34" s="143">
        <f t="shared" si="0"/>
        <v>2400</v>
      </c>
    </row>
    <row r="35" spans="1:14" ht="14.25">
      <c r="A35" s="140" t="s">
        <v>3121</v>
      </c>
      <c r="B35" s="141">
        <v>40278</v>
      </c>
      <c r="C35" s="142">
        <v>1019</v>
      </c>
      <c r="D35" s="142" t="s">
        <v>438</v>
      </c>
      <c r="E35" s="142" t="s">
        <v>3122</v>
      </c>
      <c r="F35" s="142" t="s">
        <v>3102</v>
      </c>
      <c r="G35" s="142" t="s">
        <v>3103</v>
      </c>
      <c r="H35" s="142" t="s">
        <v>3075</v>
      </c>
      <c r="I35" s="4" t="s">
        <v>3098</v>
      </c>
      <c r="J35" s="4" t="s">
        <v>3092</v>
      </c>
      <c r="K35" s="4" t="s">
        <v>3083</v>
      </c>
      <c r="L35" s="4">
        <v>50</v>
      </c>
      <c r="M35" s="143">
        <v>90</v>
      </c>
      <c r="N35" s="143">
        <f t="shared" si="0"/>
        <v>4500</v>
      </c>
    </row>
    <row r="36" spans="1:14" ht="14.25">
      <c r="A36" s="140" t="s">
        <v>3123</v>
      </c>
      <c r="B36" s="141">
        <v>40288</v>
      </c>
      <c r="C36" s="142">
        <v>1020</v>
      </c>
      <c r="D36" s="142" t="s">
        <v>439</v>
      </c>
      <c r="E36" s="142" t="s">
        <v>3124</v>
      </c>
      <c r="F36" s="142" t="s">
        <v>3102</v>
      </c>
      <c r="G36" s="142" t="s">
        <v>3103</v>
      </c>
      <c r="H36" s="142" t="s">
        <v>3075</v>
      </c>
      <c r="I36" s="4" t="s">
        <v>3088</v>
      </c>
      <c r="J36" s="4" t="s">
        <v>3089</v>
      </c>
      <c r="K36" s="4" t="s">
        <v>3090</v>
      </c>
      <c r="L36" s="4">
        <v>40</v>
      </c>
      <c r="M36" s="143">
        <v>125</v>
      </c>
      <c r="N36" s="143">
        <f t="shared" si="0"/>
        <v>5000</v>
      </c>
    </row>
    <row r="37" spans="1:14" ht="14.25">
      <c r="A37" s="140" t="s">
        <v>3123</v>
      </c>
      <c r="B37" s="141">
        <v>40288</v>
      </c>
      <c r="C37" s="142">
        <v>1020</v>
      </c>
      <c r="D37" s="142" t="s">
        <v>439</v>
      </c>
      <c r="E37" s="142" t="s">
        <v>3124</v>
      </c>
      <c r="F37" s="142" t="s">
        <v>3102</v>
      </c>
      <c r="G37" s="142" t="s">
        <v>3103</v>
      </c>
      <c r="H37" s="142" t="s">
        <v>3075</v>
      </c>
      <c r="I37" s="4" t="s">
        <v>3091</v>
      </c>
      <c r="J37" s="4" t="s">
        <v>3104</v>
      </c>
      <c r="K37" s="4" t="s">
        <v>3090</v>
      </c>
      <c r="L37" s="4">
        <v>50</v>
      </c>
      <c r="M37" s="143">
        <v>30</v>
      </c>
      <c r="N37" s="143">
        <f t="shared" si="0"/>
        <v>1500</v>
      </c>
    </row>
    <row r="38" spans="1:14" ht="14.25">
      <c r="A38" s="140" t="s">
        <v>3123</v>
      </c>
      <c r="B38" s="141">
        <v>40288</v>
      </c>
      <c r="C38" s="142">
        <v>1020</v>
      </c>
      <c r="D38" s="142" t="s">
        <v>439</v>
      </c>
      <c r="E38" s="142" t="s">
        <v>3124</v>
      </c>
      <c r="F38" s="142" t="s">
        <v>3102</v>
      </c>
      <c r="G38" s="142" t="s">
        <v>3103</v>
      </c>
      <c r="H38" s="142" t="s">
        <v>3075</v>
      </c>
      <c r="I38" s="4" t="s">
        <v>3093</v>
      </c>
      <c r="J38" s="4" t="s">
        <v>3094</v>
      </c>
      <c r="K38" s="4" t="s">
        <v>3083</v>
      </c>
      <c r="L38" s="4">
        <v>10</v>
      </c>
      <c r="M38" s="143">
        <v>60</v>
      </c>
      <c r="N38" s="143">
        <f t="shared" si="0"/>
        <v>600</v>
      </c>
    </row>
    <row r="39" spans="1:14" ht="14.25">
      <c r="A39" s="140" t="s">
        <v>3123</v>
      </c>
      <c r="B39" s="141">
        <v>40288</v>
      </c>
      <c r="C39" s="142">
        <v>1020</v>
      </c>
      <c r="D39" s="142" t="s">
        <v>439</v>
      </c>
      <c r="E39" s="142" t="s">
        <v>3124</v>
      </c>
      <c r="F39" s="142" t="s">
        <v>3102</v>
      </c>
      <c r="G39" s="142" t="s">
        <v>3103</v>
      </c>
      <c r="H39" s="142" t="s">
        <v>3075</v>
      </c>
      <c r="I39" s="4" t="s">
        <v>3098</v>
      </c>
      <c r="J39" s="4" t="s">
        <v>3099</v>
      </c>
      <c r="K39" s="4" t="s">
        <v>3078</v>
      </c>
      <c r="L39" s="4">
        <v>20</v>
      </c>
      <c r="M39" s="143">
        <v>90</v>
      </c>
      <c r="N39" s="143">
        <f t="shared" si="0"/>
        <v>1800</v>
      </c>
    </row>
    <row r="40" spans="1:14" ht="14.25">
      <c r="A40" s="140" t="s">
        <v>3125</v>
      </c>
      <c r="B40" s="141">
        <v>40299</v>
      </c>
      <c r="C40" s="142">
        <v>1013</v>
      </c>
      <c r="D40" s="142" t="s">
        <v>451</v>
      </c>
      <c r="E40" s="142" t="s">
        <v>3126</v>
      </c>
      <c r="F40" s="142" t="s">
        <v>3109</v>
      </c>
      <c r="G40" s="142" t="s">
        <v>3110</v>
      </c>
      <c r="H40" s="142" t="s">
        <v>3075</v>
      </c>
      <c r="I40" s="4" t="s">
        <v>3076</v>
      </c>
      <c r="J40" s="4" t="s">
        <v>3077</v>
      </c>
      <c r="K40" s="4" t="s">
        <v>3078</v>
      </c>
      <c r="L40" s="4">
        <v>40</v>
      </c>
      <c r="M40" s="143">
        <v>10</v>
      </c>
      <c r="N40" s="143">
        <f t="shared" si="0"/>
        <v>400</v>
      </c>
    </row>
    <row r="41" spans="1:14" ht="14.25">
      <c r="A41" s="140" t="s">
        <v>3125</v>
      </c>
      <c r="B41" s="141">
        <v>40299</v>
      </c>
      <c r="C41" s="142">
        <v>1013</v>
      </c>
      <c r="D41" s="142" t="s">
        <v>451</v>
      </c>
      <c r="E41" s="142" t="s">
        <v>3126</v>
      </c>
      <c r="F41" s="142" t="s">
        <v>3109</v>
      </c>
      <c r="G41" s="142" t="s">
        <v>3110</v>
      </c>
      <c r="H41" s="142" t="s">
        <v>3075</v>
      </c>
      <c r="I41" s="4" t="s">
        <v>3088</v>
      </c>
      <c r="J41" s="4" t="s">
        <v>3089</v>
      </c>
      <c r="K41" s="4" t="s">
        <v>3090</v>
      </c>
      <c r="L41" s="4">
        <v>50</v>
      </c>
      <c r="M41" s="143">
        <v>125</v>
      </c>
      <c r="N41" s="143">
        <f t="shared" si="0"/>
        <v>6250</v>
      </c>
    </row>
    <row r="42" spans="1:14" ht="14.25">
      <c r="A42" s="140" t="s">
        <v>3125</v>
      </c>
      <c r="B42" s="141">
        <v>40299</v>
      </c>
      <c r="C42" s="142">
        <v>1013</v>
      </c>
      <c r="D42" s="142" t="s">
        <v>451</v>
      </c>
      <c r="E42" s="142" t="s">
        <v>3126</v>
      </c>
      <c r="F42" s="142" t="s">
        <v>3109</v>
      </c>
      <c r="G42" s="142" t="s">
        <v>3110</v>
      </c>
      <c r="H42" s="142" t="s">
        <v>3075</v>
      </c>
      <c r="I42" s="4" t="s">
        <v>3098</v>
      </c>
      <c r="J42" s="4" t="s">
        <v>3099</v>
      </c>
      <c r="K42" s="4" t="s">
        <v>3078</v>
      </c>
      <c r="L42" s="4">
        <v>20</v>
      </c>
      <c r="M42" s="143">
        <v>90</v>
      </c>
      <c r="N42" s="143">
        <f t="shared" si="0"/>
        <v>1800</v>
      </c>
    </row>
    <row r="43" spans="1:14" ht="14.25">
      <c r="A43" s="140" t="s">
        <v>3125</v>
      </c>
      <c r="B43" s="141">
        <v>40299</v>
      </c>
      <c r="C43" s="142">
        <v>1013</v>
      </c>
      <c r="D43" s="142" t="s">
        <v>451</v>
      </c>
      <c r="E43" s="142" t="s">
        <v>3126</v>
      </c>
      <c r="F43" s="142" t="s">
        <v>3109</v>
      </c>
      <c r="G43" s="142" t="s">
        <v>3110</v>
      </c>
      <c r="H43" s="142" t="s">
        <v>3075</v>
      </c>
      <c r="I43" s="4" t="s">
        <v>3088</v>
      </c>
      <c r="J43" s="4" t="s">
        <v>3089</v>
      </c>
      <c r="K43" s="4" t="s">
        <v>3090</v>
      </c>
      <c r="L43" s="4">
        <v>30</v>
      </c>
      <c r="M43" s="143">
        <v>125</v>
      </c>
      <c r="N43" s="143">
        <f t="shared" si="0"/>
        <v>3750</v>
      </c>
    </row>
    <row r="44" spans="1:14" ht="14.25">
      <c r="A44" s="140" t="s">
        <v>3127</v>
      </c>
      <c r="B44" s="141">
        <v>40308</v>
      </c>
      <c r="C44" s="142">
        <v>1014</v>
      </c>
      <c r="D44" s="142" t="s">
        <v>434</v>
      </c>
      <c r="E44" s="142" t="s">
        <v>3128</v>
      </c>
      <c r="F44" s="142" t="s">
        <v>3102</v>
      </c>
      <c r="G44" s="142" t="s">
        <v>3103</v>
      </c>
      <c r="H44" s="142" t="s">
        <v>3075</v>
      </c>
      <c r="I44" s="4" t="s">
        <v>3091</v>
      </c>
      <c r="J44" s="4" t="s">
        <v>3104</v>
      </c>
      <c r="K44" s="4" t="s">
        <v>3090</v>
      </c>
      <c r="L44" s="4">
        <v>40</v>
      </c>
      <c r="M44" s="143">
        <v>30</v>
      </c>
      <c r="N44" s="143">
        <f t="shared" si="0"/>
        <v>1200</v>
      </c>
    </row>
    <row r="45" spans="1:14" ht="14.25">
      <c r="A45" s="140" t="s">
        <v>3127</v>
      </c>
      <c r="B45" s="141">
        <v>40308</v>
      </c>
      <c r="C45" s="142">
        <v>1014</v>
      </c>
      <c r="D45" s="142" t="s">
        <v>434</v>
      </c>
      <c r="E45" s="142" t="s">
        <v>3128</v>
      </c>
      <c r="F45" s="142" t="s">
        <v>3102</v>
      </c>
      <c r="G45" s="142" t="s">
        <v>3103</v>
      </c>
      <c r="H45" s="142" t="s">
        <v>3075</v>
      </c>
      <c r="I45" s="4" t="s">
        <v>3093</v>
      </c>
      <c r="J45" s="4" t="s">
        <v>3094</v>
      </c>
      <c r="K45" s="4" t="s">
        <v>3083</v>
      </c>
      <c r="L45" s="4">
        <v>50</v>
      </c>
      <c r="M45" s="143">
        <v>60</v>
      </c>
      <c r="N45" s="143">
        <f t="shared" si="0"/>
        <v>3000</v>
      </c>
    </row>
    <row r="46" spans="1:14" ht="14.25">
      <c r="A46" s="140" t="s">
        <v>3127</v>
      </c>
      <c r="B46" s="141">
        <v>40308</v>
      </c>
      <c r="C46" s="142">
        <v>1014</v>
      </c>
      <c r="D46" s="142" t="s">
        <v>434</v>
      </c>
      <c r="E46" s="142" t="s">
        <v>3128</v>
      </c>
      <c r="F46" s="142" t="s">
        <v>3102</v>
      </c>
      <c r="G46" s="142" t="s">
        <v>3103</v>
      </c>
      <c r="H46" s="142" t="s">
        <v>3075</v>
      </c>
      <c r="I46" s="4" t="s">
        <v>3098</v>
      </c>
      <c r="J46" s="4" t="s">
        <v>3099</v>
      </c>
      <c r="K46" s="4" t="s">
        <v>3078</v>
      </c>
      <c r="L46" s="4">
        <v>40</v>
      </c>
      <c r="M46" s="143">
        <v>90</v>
      </c>
      <c r="N46" s="143">
        <f t="shared" si="0"/>
        <v>3600</v>
      </c>
    </row>
    <row r="47" spans="1:14" ht="14.25">
      <c r="A47" s="140" t="s">
        <v>3127</v>
      </c>
      <c r="B47" s="141">
        <v>40308</v>
      </c>
      <c r="C47" s="142">
        <v>1014</v>
      </c>
      <c r="D47" s="142" t="s">
        <v>434</v>
      </c>
      <c r="E47" s="142" t="s">
        <v>3128</v>
      </c>
      <c r="F47" s="142" t="s">
        <v>3102</v>
      </c>
      <c r="G47" s="142" t="s">
        <v>3103</v>
      </c>
      <c r="H47" s="142" t="s">
        <v>3075</v>
      </c>
      <c r="I47" s="4" t="s">
        <v>3088</v>
      </c>
      <c r="J47" s="4" t="s">
        <v>3089</v>
      </c>
      <c r="K47" s="4" t="s">
        <v>3090</v>
      </c>
      <c r="L47" s="4">
        <v>50</v>
      </c>
      <c r="M47" s="143">
        <v>125</v>
      </c>
      <c r="N47" s="143">
        <f t="shared" si="0"/>
        <v>6250</v>
      </c>
    </row>
    <row r="48" spans="1:14" ht="14.25">
      <c r="A48" s="140" t="s">
        <v>3129</v>
      </c>
      <c r="B48" s="141">
        <v>40349</v>
      </c>
      <c r="C48" s="142">
        <v>1015</v>
      </c>
      <c r="D48" s="142" t="s">
        <v>436</v>
      </c>
      <c r="E48" s="142" t="s">
        <v>3130</v>
      </c>
      <c r="F48" s="142" t="s">
        <v>3113</v>
      </c>
      <c r="G48" s="142" t="s">
        <v>3110</v>
      </c>
      <c r="H48" s="142" t="s">
        <v>3075</v>
      </c>
      <c r="I48" s="4" t="s">
        <v>3091</v>
      </c>
      <c r="J48" s="4" t="s">
        <v>3104</v>
      </c>
      <c r="K48" s="4" t="s">
        <v>3090</v>
      </c>
      <c r="L48" s="4">
        <v>10</v>
      </c>
      <c r="M48" s="143">
        <v>30</v>
      </c>
      <c r="N48" s="143">
        <f t="shared" si="0"/>
        <v>300</v>
      </c>
    </row>
    <row r="49" spans="1:14" ht="14.25">
      <c r="A49" s="140" t="s">
        <v>3129</v>
      </c>
      <c r="B49" s="141">
        <v>40349</v>
      </c>
      <c r="C49" s="142">
        <v>1015</v>
      </c>
      <c r="D49" s="142" t="s">
        <v>436</v>
      </c>
      <c r="E49" s="142" t="s">
        <v>3130</v>
      </c>
      <c r="F49" s="142" t="s">
        <v>3113</v>
      </c>
      <c r="G49" s="142" t="s">
        <v>3110</v>
      </c>
      <c r="H49" s="142" t="s">
        <v>3075</v>
      </c>
      <c r="I49" s="4" t="s">
        <v>3093</v>
      </c>
      <c r="J49" s="4" t="s">
        <v>3094</v>
      </c>
      <c r="K49" s="4" t="s">
        <v>3083</v>
      </c>
      <c r="L49" s="4">
        <v>20</v>
      </c>
      <c r="M49" s="143">
        <v>60</v>
      </c>
      <c r="N49" s="143">
        <f t="shared" si="0"/>
        <v>1200</v>
      </c>
    </row>
    <row r="50" spans="1:14" ht="14.25">
      <c r="A50" s="140" t="s">
        <v>3129</v>
      </c>
      <c r="B50" s="141">
        <v>40349</v>
      </c>
      <c r="C50" s="142">
        <v>1015</v>
      </c>
      <c r="D50" s="142" t="s">
        <v>436</v>
      </c>
      <c r="E50" s="142" t="s">
        <v>3130</v>
      </c>
      <c r="F50" s="142" t="s">
        <v>3113</v>
      </c>
      <c r="G50" s="142" t="s">
        <v>3110</v>
      </c>
      <c r="H50" s="142" t="s">
        <v>3075</v>
      </c>
      <c r="I50" s="4" t="s">
        <v>3098</v>
      </c>
      <c r="J50" s="4" t="s">
        <v>3099</v>
      </c>
      <c r="K50" s="4" t="s">
        <v>3078</v>
      </c>
      <c r="L50" s="4">
        <v>40</v>
      </c>
      <c r="M50" s="143">
        <v>90</v>
      </c>
      <c r="N50" s="143">
        <f t="shared" si="0"/>
        <v>3600</v>
      </c>
    </row>
    <row r="51" spans="1:14" ht="14.25">
      <c r="A51" s="140" t="s">
        <v>3131</v>
      </c>
      <c r="B51" s="141">
        <v>40330</v>
      </c>
      <c r="C51" s="142">
        <v>1016</v>
      </c>
      <c r="D51" s="142" t="s">
        <v>437</v>
      </c>
      <c r="E51" s="142" t="s">
        <v>3132</v>
      </c>
      <c r="F51" s="142" t="s">
        <v>3133</v>
      </c>
      <c r="G51" s="142" t="s">
        <v>3110</v>
      </c>
      <c r="H51" s="142" t="s">
        <v>3075</v>
      </c>
      <c r="I51" s="4" t="s">
        <v>3076</v>
      </c>
      <c r="J51" s="4" t="s">
        <v>3077</v>
      </c>
      <c r="K51" s="4" t="s">
        <v>3078</v>
      </c>
      <c r="L51" s="4">
        <v>50</v>
      </c>
      <c r="M51" s="143">
        <v>10</v>
      </c>
      <c r="N51" s="143">
        <f t="shared" si="0"/>
        <v>500</v>
      </c>
    </row>
    <row r="52" spans="1:14" ht="14.25">
      <c r="A52" s="140" t="s">
        <v>3131</v>
      </c>
      <c r="B52" s="141">
        <v>40330</v>
      </c>
      <c r="C52" s="142">
        <v>1016</v>
      </c>
      <c r="D52" s="142" t="s">
        <v>437</v>
      </c>
      <c r="E52" s="142" t="s">
        <v>3132</v>
      </c>
      <c r="F52" s="142" t="s">
        <v>3133</v>
      </c>
      <c r="G52" s="142" t="s">
        <v>3110</v>
      </c>
      <c r="H52" s="142" t="s">
        <v>3075</v>
      </c>
      <c r="I52" s="4" t="s">
        <v>3079</v>
      </c>
      <c r="J52" s="4" t="s">
        <v>3080</v>
      </c>
      <c r="K52" s="4" t="s">
        <v>3078</v>
      </c>
      <c r="L52" s="4">
        <v>10</v>
      </c>
      <c r="M52" s="143">
        <v>30</v>
      </c>
      <c r="N52" s="143">
        <f t="shared" si="0"/>
        <v>300</v>
      </c>
    </row>
    <row r="53" spans="1:14" ht="14.25">
      <c r="A53" s="140" t="s">
        <v>3131</v>
      </c>
      <c r="B53" s="141">
        <v>40330</v>
      </c>
      <c r="C53" s="142">
        <v>1016</v>
      </c>
      <c r="D53" s="142" t="s">
        <v>437</v>
      </c>
      <c r="E53" s="142" t="s">
        <v>3132</v>
      </c>
      <c r="F53" s="142" t="s">
        <v>3133</v>
      </c>
      <c r="G53" s="142" t="s">
        <v>3110</v>
      </c>
      <c r="H53" s="142" t="s">
        <v>3075</v>
      </c>
      <c r="I53" s="4" t="s">
        <v>3081</v>
      </c>
      <c r="J53" s="4" t="s">
        <v>3082</v>
      </c>
      <c r="K53" s="4" t="s">
        <v>3083</v>
      </c>
      <c r="L53" s="4">
        <v>20</v>
      </c>
      <c r="M53" s="143">
        <v>5</v>
      </c>
      <c r="N53" s="143">
        <f t="shared" si="0"/>
        <v>100</v>
      </c>
    </row>
    <row r="54" spans="1:14" ht="14.25">
      <c r="A54" s="140" t="s">
        <v>3134</v>
      </c>
      <c r="B54" s="141">
        <v>40188</v>
      </c>
      <c r="C54" s="142">
        <v>1017</v>
      </c>
      <c r="D54" s="142" t="s">
        <v>418</v>
      </c>
      <c r="E54" s="142" t="s">
        <v>3135</v>
      </c>
      <c r="F54" s="142" t="s">
        <v>3109</v>
      </c>
      <c r="G54" s="142" t="s">
        <v>3110</v>
      </c>
      <c r="H54" s="142" t="s">
        <v>3075</v>
      </c>
      <c r="I54" s="4" t="s">
        <v>3088</v>
      </c>
      <c r="J54" s="4" t="s">
        <v>3089</v>
      </c>
      <c r="K54" s="4" t="s">
        <v>3090</v>
      </c>
      <c r="L54" s="4">
        <v>40</v>
      </c>
      <c r="M54" s="143">
        <v>125</v>
      </c>
      <c r="N54" s="143">
        <f t="shared" si="0"/>
        <v>5000</v>
      </c>
    </row>
    <row r="55" spans="1:14" ht="14.25">
      <c r="A55" s="140" t="s">
        <v>3134</v>
      </c>
      <c r="B55" s="141">
        <v>40188</v>
      </c>
      <c r="C55" s="142">
        <v>1017</v>
      </c>
      <c r="D55" s="142" t="s">
        <v>418</v>
      </c>
      <c r="E55" s="142" t="s">
        <v>3135</v>
      </c>
      <c r="F55" s="142" t="s">
        <v>3109</v>
      </c>
      <c r="G55" s="142" t="s">
        <v>3110</v>
      </c>
      <c r="H55" s="142" t="s">
        <v>3075</v>
      </c>
      <c r="I55" s="4" t="s">
        <v>3091</v>
      </c>
      <c r="J55" s="4" t="s">
        <v>3092</v>
      </c>
      <c r="K55" s="4" t="s">
        <v>3083</v>
      </c>
      <c r="L55" s="4">
        <v>50</v>
      </c>
      <c r="M55" s="143">
        <v>90</v>
      </c>
      <c r="N55" s="143">
        <f t="shared" si="0"/>
        <v>4500</v>
      </c>
    </row>
    <row r="56" spans="1:14" ht="14.25">
      <c r="A56" s="140" t="s">
        <v>3134</v>
      </c>
      <c r="B56" s="141">
        <v>40188</v>
      </c>
      <c r="C56" s="142">
        <v>1017</v>
      </c>
      <c r="D56" s="142" t="s">
        <v>418</v>
      </c>
      <c r="E56" s="142" t="s">
        <v>3135</v>
      </c>
      <c r="F56" s="142" t="s">
        <v>3109</v>
      </c>
      <c r="G56" s="142" t="s">
        <v>3110</v>
      </c>
      <c r="H56" s="142" t="s">
        <v>3075</v>
      </c>
      <c r="I56" s="4" t="s">
        <v>3093</v>
      </c>
      <c r="J56" s="4" t="s">
        <v>3094</v>
      </c>
      <c r="K56" s="4" t="s">
        <v>3083</v>
      </c>
      <c r="L56" s="4">
        <v>40</v>
      </c>
      <c r="M56" s="143">
        <v>60</v>
      </c>
      <c r="N56" s="143">
        <f t="shared" si="0"/>
        <v>2400</v>
      </c>
    </row>
    <row r="57" spans="1:14" ht="14.25">
      <c r="A57" s="140" t="s">
        <v>3136</v>
      </c>
      <c r="B57" s="141">
        <v>40198</v>
      </c>
      <c r="C57" s="142">
        <v>1019</v>
      </c>
      <c r="D57" s="142" t="s">
        <v>438</v>
      </c>
      <c r="E57" s="142" t="s">
        <v>3122</v>
      </c>
      <c r="F57" s="142" t="s">
        <v>3102</v>
      </c>
      <c r="G57" s="142" t="s">
        <v>3103</v>
      </c>
      <c r="H57" s="142" t="s">
        <v>3075</v>
      </c>
      <c r="I57" s="4" t="s">
        <v>3098</v>
      </c>
      <c r="J57" s="4" t="s">
        <v>3099</v>
      </c>
      <c r="K57" s="4" t="s">
        <v>3078</v>
      </c>
      <c r="L57" s="4">
        <v>50</v>
      </c>
      <c r="M57" s="143">
        <v>90</v>
      </c>
      <c r="N57" s="143">
        <f t="shared" si="0"/>
        <v>4500</v>
      </c>
    </row>
    <row r="58" spans="1:14" ht="14.25">
      <c r="A58" s="140" t="s">
        <v>3136</v>
      </c>
      <c r="B58" s="141">
        <v>40198</v>
      </c>
      <c r="C58" s="142">
        <v>1019</v>
      </c>
      <c r="D58" s="142" t="s">
        <v>438</v>
      </c>
      <c r="E58" s="142" t="s">
        <v>3122</v>
      </c>
      <c r="F58" s="142" t="s">
        <v>3102</v>
      </c>
      <c r="G58" s="142" t="s">
        <v>3103</v>
      </c>
      <c r="H58" s="142" t="s">
        <v>3075</v>
      </c>
      <c r="I58" s="4" t="s">
        <v>3088</v>
      </c>
      <c r="J58" s="4" t="s">
        <v>3089</v>
      </c>
      <c r="K58" s="4" t="s">
        <v>3090</v>
      </c>
      <c r="L58" s="4">
        <v>40</v>
      </c>
      <c r="M58" s="143">
        <v>125</v>
      </c>
      <c r="N58" s="143">
        <f t="shared" si="0"/>
        <v>5000</v>
      </c>
    </row>
    <row r="59" spans="1:14" ht="14.25">
      <c r="A59" s="140" t="s">
        <v>3136</v>
      </c>
      <c r="B59" s="141">
        <v>40198</v>
      </c>
      <c r="C59" s="142">
        <v>1019</v>
      </c>
      <c r="D59" s="142" t="s">
        <v>438</v>
      </c>
      <c r="E59" s="142" t="s">
        <v>3122</v>
      </c>
      <c r="F59" s="142" t="s">
        <v>3102</v>
      </c>
      <c r="G59" s="142" t="s">
        <v>3103</v>
      </c>
      <c r="H59" s="142" t="s">
        <v>3075</v>
      </c>
      <c r="I59" s="4" t="s">
        <v>3091</v>
      </c>
      <c r="J59" s="4" t="s">
        <v>3104</v>
      </c>
      <c r="K59" s="4" t="s">
        <v>3090</v>
      </c>
      <c r="L59" s="4">
        <v>50</v>
      </c>
      <c r="M59" s="143">
        <v>30</v>
      </c>
      <c r="N59" s="143">
        <f t="shared" si="0"/>
        <v>1500</v>
      </c>
    </row>
    <row r="60" spans="1:14" ht="14.25">
      <c r="A60" s="140" t="s">
        <v>3137</v>
      </c>
      <c r="B60" s="141">
        <v>40544</v>
      </c>
      <c r="C60" s="142">
        <v>1023</v>
      </c>
      <c r="D60" s="142" t="s">
        <v>423</v>
      </c>
      <c r="E60" s="142" t="s">
        <v>3138</v>
      </c>
      <c r="F60" s="142" t="s">
        <v>3109</v>
      </c>
      <c r="G60" s="142" t="s">
        <v>3110</v>
      </c>
      <c r="H60" s="142" t="s">
        <v>3075</v>
      </c>
      <c r="I60" s="4" t="s">
        <v>3076</v>
      </c>
      <c r="J60" s="4" t="s">
        <v>3077</v>
      </c>
      <c r="K60" s="4" t="s">
        <v>3078</v>
      </c>
      <c r="L60" s="4">
        <v>10</v>
      </c>
      <c r="M60" s="143">
        <v>10</v>
      </c>
      <c r="N60" s="143">
        <f>M60*L60</f>
        <v>100</v>
      </c>
    </row>
    <row r="61" spans="1:14" ht="14.25">
      <c r="A61" s="140" t="s">
        <v>3137</v>
      </c>
      <c r="B61" s="141">
        <v>40544</v>
      </c>
      <c r="C61" s="142">
        <v>1023</v>
      </c>
      <c r="D61" s="142" t="s">
        <v>423</v>
      </c>
      <c r="E61" s="142" t="s">
        <v>3138</v>
      </c>
      <c r="F61" s="142" t="s">
        <v>3109</v>
      </c>
      <c r="G61" s="142" t="s">
        <v>3110</v>
      </c>
      <c r="H61" s="142" t="s">
        <v>3075</v>
      </c>
      <c r="I61" s="4" t="s">
        <v>3079</v>
      </c>
      <c r="J61" s="4" t="s">
        <v>3080</v>
      </c>
      <c r="K61" s="4" t="s">
        <v>3078</v>
      </c>
      <c r="L61" s="4">
        <v>20</v>
      </c>
      <c r="M61" s="143">
        <v>30</v>
      </c>
      <c r="N61" s="143">
        <f t="shared" ref="N61:N107" si="1">M61*L61</f>
        <v>600</v>
      </c>
    </row>
    <row r="62" spans="1:14" ht="14.25">
      <c r="A62" s="140" t="s">
        <v>3137</v>
      </c>
      <c r="B62" s="141">
        <v>40544</v>
      </c>
      <c r="C62" s="142">
        <v>1023</v>
      </c>
      <c r="D62" s="142" t="s">
        <v>423</v>
      </c>
      <c r="E62" s="142" t="s">
        <v>3138</v>
      </c>
      <c r="F62" s="142" t="s">
        <v>3109</v>
      </c>
      <c r="G62" s="142" t="s">
        <v>3110</v>
      </c>
      <c r="H62" s="142" t="s">
        <v>3075</v>
      </c>
      <c r="I62" s="4" t="s">
        <v>3081</v>
      </c>
      <c r="J62" s="4" t="s">
        <v>3082</v>
      </c>
      <c r="K62" s="4" t="s">
        <v>3083</v>
      </c>
      <c r="L62" s="4">
        <v>30</v>
      </c>
      <c r="M62" s="143">
        <v>5</v>
      </c>
      <c r="N62" s="143">
        <f t="shared" si="1"/>
        <v>150</v>
      </c>
    </row>
    <row r="63" spans="1:14" ht="14.25">
      <c r="A63" s="140" t="s">
        <v>3139</v>
      </c>
      <c r="B63" s="141">
        <v>40553</v>
      </c>
      <c r="C63" s="142">
        <v>1024</v>
      </c>
      <c r="D63" s="142" t="s">
        <v>427</v>
      </c>
      <c r="E63" s="142" t="s">
        <v>3140</v>
      </c>
      <c r="F63" s="142" t="s">
        <v>3097</v>
      </c>
      <c r="G63" s="142" t="s">
        <v>3074</v>
      </c>
      <c r="H63" s="142" t="s">
        <v>3075</v>
      </c>
      <c r="I63" s="4" t="s">
        <v>3088</v>
      </c>
      <c r="J63" s="4" t="s">
        <v>3089</v>
      </c>
      <c r="K63" s="4" t="s">
        <v>3090</v>
      </c>
      <c r="L63" s="4">
        <v>40</v>
      </c>
      <c r="M63" s="143">
        <v>125</v>
      </c>
      <c r="N63" s="143">
        <f t="shared" si="1"/>
        <v>5000</v>
      </c>
    </row>
    <row r="64" spans="1:14" ht="14.25">
      <c r="A64" s="140" t="s">
        <v>3139</v>
      </c>
      <c r="B64" s="141">
        <v>40553</v>
      </c>
      <c r="C64" s="142">
        <v>1024</v>
      </c>
      <c r="D64" s="142" t="s">
        <v>427</v>
      </c>
      <c r="E64" s="142" t="s">
        <v>3140</v>
      </c>
      <c r="F64" s="142" t="s">
        <v>3097</v>
      </c>
      <c r="G64" s="142" t="s">
        <v>3074</v>
      </c>
      <c r="H64" s="142" t="s">
        <v>3075</v>
      </c>
      <c r="I64" s="4" t="s">
        <v>3091</v>
      </c>
      <c r="J64" s="4" t="s">
        <v>3104</v>
      </c>
      <c r="K64" s="4" t="s">
        <v>3090</v>
      </c>
      <c r="L64" s="4">
        <v>50</v>
      </c>
      <c r="M64" s="143">
        <v>30</v>
      </c>
      <c r="N64" s="143">
        <f t="shared" si="1"/>
        <v>1500</v>
      </c>
    </row>
    <row r="65" spans="1:14" ht="14.25">
      <c r="A65" s="140" t="s">
        <v>3139</v>
      </c>
      <c r="B65" s="141">
        <v>40553</v>
      </c>
      <c r="C65" s="142">
        <v>1024</v>
      </c>
      <c r="D65" s="142" t="s">
        <v>427</v>
      </c>
      <c r="E65" s="142" t="s">
        <v>3140</v>
      </c>
      <c r="F65" s="142" t="s">
        <v>3097</v>
      </c>
      <c r="G65" s="142" t="s">
        <v>3074</v>
      </c>
      <c r="H65" s="142" t="s">
        <v>3075</v>
      </c>
      <c r="I65" s="4" t="s">
        <v>3093</v>
      </c>
      <c r="J65" s="4" t="s">
        <v>3094</v>
      </c>
      <c r="K65" s="4" t="s">
        <v>3083</v>
      </c>
      <c r="L65" s="4">
        <v>10</v>
      </c>
      <c r="M65" s="143">
        <v>60</v>
      </c>
      <c r="N65" s="143">
        <f t="shared" si="1"/>
        <v>600</v>
      </c>
    </row>
    <row r="66" spans="1:14" ht="14.25">
      <c r="A66" s="140" t="s">
        <v>3141</v>
      </c>
      <c r="B66" s="141">
        <v>40562</v>
      </c>
      <c r="C66" s="142">
        <v>1025</v>
      </c>
      <c r="D66" s="142" t="s">
        <v>429</v>
      </c>
      <c r="E66" s="142" t="s">
        <v>3142</v>
      </c>
      <c r="F66" s="142" t="s">
        <v>3109</v>
      </c>
      <c r="G66" s="142" t="s">
        <v>3110</v>
      </c>
      <c r="H66" s="142" t="s">
        <v>3075</v>
      </c>
      <c r="I66" s="4" t="s">
        <v>3098</v>
      </c>
      <c r="J66" s="4" t="s">
        <v>3099</v>
      </c>
      <c r="K66" s="4" t="s">
        <v>3078</v>
      </c>
      <c r="L66" s="4">
        <v>20</v>
      </c>
      <c r="M66" s="143">
        <v>90</v>
      </c>
      <c r="N66" s="143">
        <f t="shared" si="1"/>
        <v>1800</v>
      </c>
    </row>
    <row r="67" spans="1:14" ht="14.25">
      <c r="A67" s="140" t="s">
        <v>3141</v>
      </c>
      <c r="B67" s="141">
        <v>40562</v>
      </c>
      <c r="C67" s="142">
        <v>1025</v>
      </c>
      <c r="D67" s="142" t="s">
        <v>429</v>
      </c>
      <c r="E67" s="142" t="s">
        <v>3142</v>
      </c>
      <c r="F67" s="142" t="s">
        <v>3109</v>
      </c>
      <c r="G67" s="142" t="s">
        <v>3110</v>
      </c>
      <c r="H67" s="142" t="s">
        <v>3075</v>
      </c>
      <c r="I67" s="4" t="s">
        <v>3088</v>
      </c>
      <c r="J67" s="4" t="s">
        <v>3089</v>
      </c>
      <c r="K67" s="4" t="s">
        <v>3090</v>
      </c>
      <c r="L67" s="4">
        <v>30</v>
      </c>
      <c r="M67" s="143">
        <v>125</v>
      </c>
      <c r="N67" s="143">
        <f t="shared" si="1"/>
        <v>3750</v>
      </c>
    </row>
    <row r="68" spans="1:14" ht="14.25">
      <c r="A68" s="140" t="s">
        <v>3141</v>
      </c>
      <c r="B68" s="141">
        <v>40562</v>
      </c>
      <c r="C68" s="142">
        <v>1025</v>
      </c>
      <c r="D68" s="142" t="s">
        <v>429</v>
      </c>
      <c r="E68" s="142" t="s">
        <v>3142</v>
      </c>
      <c r="F68" s="142" t="s">
        <v>3109</v>
      </c>
      <c r="G68" s="142" t="s">
        <v>3110</v>
      </c>
      <c r="H68" s="142" t="s">
        <v>3075</v>
      </c>
      <c r="I68" s="4" t="s">
        <v>3091</v>
      </c>
      <c r="J68" s="4" t="s">
        <v>3104</v>
      </c>
      <c r="K68" s="4" t="s">
        <v>3090</v>
      </c>
      <c r="L68" s="4">
        <v>40</v>
      </c>
      <c r="M68" s="143">
        <v>30</v>
      </c>
      <c r="N68" s="143">
        <f t="shared" si="1"/>
        <v>1200</v>
      </c>
    </row>
    <row r="69" spans="1:14" ht="14.25">
      <c r="A69" s="140" t="s">
        <v>3143</v>
      </c>
      <c r="B69" s="141">
        <v>40571</v>
      </c>
      <c r="C69" s="142">
        <v>1026</v>
      </c>
      <c r="D69" s="142" t="s">
        <v>432</v>
      </c>
      <c r="E69" s="142" t="s">
        <v>3144</v>
      </c>
      <c r="F69" s="142" t="s">
        <v>3097</v>
      </c>
      <c r="G69" s="142" t="s">
        <v>3074</v>
      </c>
      <c r="H69" s="142" t="s">
        <v>3075</v>
      </c>
      <c r="I69" s="4" t="s">
        <v>3093</v>
      </c>
      <c r="J69" s="4" t="s">
        <v>3094</v>
      </c>
      <c r="K69" s="4" t="s">
        <v>3083</v>
      </c>
      <c r="L69" s="4">
        <v>50</v>
      </c>
      <c r="M69" s="143">
        <v>60</v>
      </c>
      <c r="N69" s="143">
        <f t="shared" si="1"/>
        <v>3000</v>
      </c>
    </row>
    <row r="70" spans="1:14" ht="14.25">
      <c r="A70" s="140" t="s">
        <v>3143</v>
      </c>
      <c r="B70" s="141">
        <v>40571</v>
      </c>
      <c r="C70" s="142">
        <v>1026</v>
      </c>
      <c r="D70" s="142" t="s">
        <v>432</v>
      </c>
      <c r="E70" s="142" t="s">
        <v>3144</v>
      </c>
      <c r="F70" s="142" t="s">
        <v>3097</v>
      </c>
      <c r="G70" s="142" t="s">
        <v>3074</v>
      </c>
      <c r="H70" s="142" t="s">
        <v>3075</v>
      </c>
      <c r="I70" s="4" t="s">
        <v>3098</v>
      </c>
      <c r="J70" s="4" t="s">
        <v>3099</v>
      </c>
      <c r="K70" s="4" t="s">
        <v>3078</v>
      </c>
      <c r="L70" s="4">
        <v>40</v>
      </c>
      <c r="M70" s="143">
        <v>90</v>
      </c>
      <c r="N70" s="143">
        <f t="shared" si="1"/>
        <v>3600</v>
      </c>
    </row>
    <row r="71" spans="1:14" ht="14.25">
      <c r="A71" s="140" t="s">
        <v>3143</v>
      </c>
      <c r="B71" s="141">
        <v>40571</v>
      </c>
      <c r="C71" s="142">
        <v>1026</v>
      </c>
      <c r="D71" s="142" t="s">
        <v>432</v>
      </c>
      <c r="E71" s="142" t="s">
        <v>3144</v>
      </c>
      <c r="F71" s="142" t="s">
        <v>3097</v>
      </c>
      <c r="G71" s="142" t="s">
        <v>3074</v>
      </c>
      <c r="H71" s="142" t="s">
        <v>3075</v>
      </c>
      <c r="I71" s="4" t="s">
        <v>3088</v>
      </c>
      <c r="J71" s="4" t="s">
        <v>3089</v>
      </c>
      <c r="K71" s="4" t="s">
        <v>3090</v>
      </c>
      <c r="L71" s="4">
        <v>50</v>
      </c>
      <c r="M71" s="143">
        <v>125</v>
      </c>
      <c r="N71" s="143">
        <f t="shared" si="1"/>
        <v>6250</v>
      </c>
    </row>
    <row r="72" spans="1:14" ht="14.25">
      <c r="A72" s="140" t="s">
        <v>3145</v>
      </c>
      <c r="B72" s="141">
        <v>40580</v>
      </c>
      <c r="C72" s="142">
        <v>1001</v>
      </c>
      <c r="D72" s="142" t="s">
        <v>415</v>
      </c>
      <c r="E72" s="142" t="s">
        <v>3072</v>
      </c>
      <c r="F72" s="142" t="s">
        <v>3073</v>
      </c>
      <c r="G72" s="142" t="s">
        <v>3074</v>
      </c>
      <c r="H72" s="142" t="s">
        <v>3075</v>
      </c>
      <c r="I72" s="4" t="s">
        <v>3091</v>
      </c>
      <c r="J72" s="4" t="s">
        <v>3104</v>
      </c>
      <c r="K72" s="4" t="s">
        <v>3090</v>
      </c>
      <c r="L72" s="4">
        <v>10</v>
      </c>
      <c r="M72" s="143">
        <v>30</v>
      </c>
      <c r="N72" s="143">
        <f t="shared" si="1"/>
        <v>300</v>
      </c>
    </row>
    <row r="73" spans="1:14" ht="14.25">
      <c r="A73" s="140" t="s">
        <v>3145</v>
      </c>
      <c r="B73" s="141">
        <v>40580</v>
      </c>
      <c r="C73" s="142">
        <v>1001</v>
      </c>
      <c r="D73" s="142" t="s">
        <v>415</v>
      </c>
      <c r="E73" s="142" t="s">
        <v>3072</v>
      </c>
      <c r="F73" s="142" t="s">
        <v>3073</v>
      </c>
      <c r="G73" s="142" t="s">
        <v>3074</v>
      </c>
      <c r="H73" s="142" t="s">
        <v>3075</v>
      </c>
      <c r="I73" s="4" t="s">
        <v>3093</v>
      </c>
      <c r="J73" s="4" t="s">
        <v>3094</v>
      </c>
      <c r="K73" s="4" t="s">
        <v>3083</v>
      </c>
      <c r="L73" s="4">
        <v>20</v>
      </c>
      <c r="M73" s="143">
        <v>60</v>
      </c>
      <c r="N73" s="143">
        <f t="shared" si="1"/>
        <v>1200</v>
      </c>
    </row>
    <row r="74" spans="1:14" ht="14.25">
      <c r="A74" s="140" t="s">
        <v>3145</v>
      </c>
      <c r="B74" s="141">
        <v>40580</v>
      </c>
      <c r="C74" s="142">
        <v>1001</v>
      </c>
      <c r="D74" s="142" t="s">
        <v>415</v>
      </c>
      <c r="E74" s="142" t="s">
        <v>3072</v>
      </c>
      <c r="F74" s="142" t="s">
        <v>3073</v>
      </c>
      <c r="G74" s="142" t="s">
        <v>3074</v>
      </c>
      <c r="H74" s="142" t="s">
        <v>3075</v>
      </c>
      <c r="I74" s="4" t="s">
        <v>3079</v>
      </c>
      <c r="J74" s="4" t="s">
        <v>3080</v>
      </c>
      <c r="K74" s="4" t="s">
        <v>3078</v>
      </c>
      <c r="L74" s="4">
        <v>10</v>
      </c>
      <c r="M74" s="143">
        <v>30</v>
      </c>
      <c r="N74" s="143">
        <f t="shared" si="1"/>
        <v>300</v>
      </c>
    </row>
    <row r="75" spans="1:14" ht="14.25">
      <c r="A75" s="140" t="s">
        <v>3146</v>
      </c>
      <c r="B75" s="141">
        <v>40589</v>
      </c>
      <c r="C75" s="142">
        <v>1002</v>
      </c>
      <c r="D75" s="142" t="s">
        <v>418</v>
      </c>
      <c r="E75" s="142" t="s">
        <v>3085</v>
      </c>
      <c r="F75" s="142" t="s">
        <v>3086</v>
      </c>
      <c r="G75" s="142" t="s">
        <v>3087</v>
      </c>
      <c r="H75" s="142" t="s">
        <v>3075</v>
      </c>
      <c r="I75" s="4" t="s">
        <v>3081</v>
      </c>
      <c r="J75" s="4" t="s">
        <v>3082</v>
      </c>
      <c r="K75" s="4" t="s">
        <v>3083</v>
      </c>
      <c r="L75" s="4">
        <v>20</v>
      </c>
      <c r="M75" s="143">
        <v>5</v>
      </c>
      <c r="N75" s="143">
        <f t="shared" si="1"/>
        <v>100</v>
      </c>
    </row>
    <row r="76" spans="1:14" ht="14.25">
      <c r="A76" s="140" t="s">
        <v>3146</v>
      </c>
      <c r="B76" s="141">
        <v>40589</v>
      </c>
      <c r="C76" s="142">
        <v>1002</v>
      </c>
      <c r="D76" s="142" t="s">
        <v>418</v>
      </c>
      <c r="E76" s="142" t="s">
        <v>3085</v>
      </c>
      <c r="F76" s="142" t="s">
        <v>3086</v>
      </c>
      <c r="G76" s="142" t="s">
        <v>3087</v>
      </c>
      <c r="H76" s="142" t="s">
        <v>3075</v>
      </c>
      <c r="I76" s="4" t="s">
        <v>3088</v>
      </c>
      <c r="J76" s="4" t="s">
        <v>3089</v>
      </c>
      <c r="K76" s="4" t="s">
        <v>3090</v>
      </c>
      <c r="L76" s="4">
        <v>40</v>
      </c>
      <c r="M76" s="143">
        <v>125</v>
      </c>
      <c r="N76" s="143">
        <f t="shared" si="1"/>
        <v>5000</v>
      </c>
    </row>
    <row r="77" spans="1:14" ht="14.25">
      <c r="A77" s="140" t="s">
        <v>3146</v>
      </c>
      <c r="B77" s="141">
        <v>40589</v>
      </c>
      <c r="C77" s="142">
        <v>1002</v>
      </c>
      <c r="D77" s="142" t="s">
        <v>418</v>
      </c>
      <c r="E77" s="142" t="s">
        <v>3085</v>
      </c>
      <c r="F77" s="142" t="s">
        <v>3086</v>
      </c>
      <c r="G77" s="142" t="s">
        <v>3087</v>
      </c>
      <c r="H77" s="142" t="s">
        <v>3075</v>
      </c>
      <c r="I77" s="4" t="s">
        <v>3091</v>
      </c>
      <c r="J77" s="4" t="s">
        <v>3104</v>
      </c>
      <c r="K77" s="4" t="s">
        <v>3090</v>
      </c>
      <c r="L77" s="4">
        <v>50</v>
      </c>
      <c r="M77" s="143">
        <v>30</v>
      </c>
      <c r="N77" s="143">
        <f t="shared" si="1"/>
        <v>1500</v>
      </c>
    </row>
    <row r="78" spans="1:14" ht="14.25">
      <c r="A78" s="140" t="s">
        <v>3147</v>
      </c>
      <c r="B78" s="141">
        <v>40598</v>
      </c>
      <c r="C78" s="142">
        <v>1003</v>
      </c>
      <c r="D78" s="142" t="s">
        <v>422</v>
      </c>
      <c r="E78" s="142" t="s">
        <v>3096</v>
      </c>
      <c r="F78" s="142" t="s">
        <v>3097</v>
      </c>
      <c r="G78" s="142" t="s">
        <v>3074</v>
      </c>
      <c r="H78" s="142" t="s">
        <v>3075</v>
      </c>
      <c r="I78" s="4" t="s">
        <v>3093</v>
      </c>
      <c r="J78" s="4" t="s">
        <v>3094</v>
      </c>
      <c r="K78" s="4" t="s">
        <v>3083</v>
      </c>
      <c r="L78" s="4">
        <v>10</v>
      </c>
      <c r="M78" s="143">
        <v>60</v>
      </c>
      <c r="N78" s="143">
        <f t="shared" si="1"/>
        <v>600</v>
      </c>
    </row>
    <row r="79" spans="1:14" ht="14.25">
      <c r="A79" s="140" t="s">
        <v>3147</v>
      </c>
      <c r="B79" s="141">
        <v>40598</v>
      </c>
      <c r="C79" s="142">
        <v>1003</v>
      </c>
      <c r="D79" s="142" t="s">
        <v>422</v>
      </c>
      <c r="E79" s="142" t="s">
        <v>3096</v>
      </c>
      <c r="F79" s="142" t="s">
        <v>3097</v>
      </c>
      <c r="G79" s="142" t="s">
        <v>3074</v>
      </c>
      <c r="H79" s="142" t="s">
        <v>3075</v>
      </c>
      <c r="I79" s="4" t="s">
        <v>3098</v>
      </c>
      <c r="J79" s="4" t="s">
        <v>3099</v>
      </c>
      <c r="K79" s="4" t="s">
        <v>3078</v>
      </c>
      <c r="L79" s="4">
        <v>20</v>
      </c>
      <c r="M79" s="143">
        <v>90</v>
      </c>
      <c r="N79" s="143">
        <f t="shared" si="1"/>
        <v>1800</v>
      </c>
    </row>
    <row r="80" spans="1:14" ht="14.25">
      <c r="A80" s="140" t="s">
        <v>3148</v>
      </c>
      <c r="B80" s="141">
        <v>40607</v>
      </c>
      <c r="C80" s="142">
        <v>1010</v>
      </c>
      <c r="D80" s="142" t="s">
        <v>423</v>
      </c>
      <c r="E80" s="142" t="s">
        <v>3101</v>
      </c>
      <c r="F80" s="142" t="s">
        <v>3102</v>
      </c>
      <c r="G80" s="142" t="s">
        <v>3103</v>
      </c>
      <c r="H80" s="142" t="s">
        <v>3075</v>
      </c>
      <c r="I80" s="4" t="s">
        <v>3088</v>
      </c>
      <c r="J80" s="4" t="s">
        <v>3092</v>
      </c>
      <c r="K80" s="4" t="s">
        <v>3083</v>
      </c>
      <c r="L80" s="4">
        <v>40</v>
      </c>
      <c r="M80" s="143">
        <v>90</v>
      </c>
      <c r="N80" s="143">
        <f t="shared" si="1"/>
        <v>3600</v>
      </c>
    </row>
    <row r="81" spans="1:14" ht="14.25">
      <c r="A81" s="140" t="s">
        <v>3148</v>
      </c>
      <c r="B81" s="141">
        <v>40607</v>
      </c>
      <c r="C81" s="142">
        <v>1010</v>
      </c>
      <c r="D81" s="142" t="s">
        <v>423</v>
      </c>
      <c r="E81" s="142" t="s">
        <v>3101</v>
      </c>
      <c r="F81" s="142" t="s">
        <v>3102</v>
      </c>
      <c r="G81" s="142" t="s">
        <v>3103</v>
      </c>
      <c r="H81" s="142" t="s">
        <v>3075</v>
      </c>
      <c r="I81" s="4" t="s">
        <v>3091</v>
      </c>
      <c r="J81" s="4" t="s">
        <v>3104</v>
      </c>
      <c r="K81" s="4" t="s">
        <v>3090</v>
      </c>
      <c r="L81" s="4">
        <v>50</v>
      </c>
      <c r="M81" s="143">
        <v>30</v>
      </c>
      <c r="N81" s="143">
        <f t="shared" si="1"/>
        <v>1500</v>
      </c>
    </row>
    <row r="82" spans="1:14" ht="14.25">
      <c r="A82" s="140" t="s">
        <v>3149</v>
      </c>
      <c r="B82" s="141">
        <v>40616</v>
      </c>
      <c r="C82" s="142">
        <v>1005</v>
      </c>
      <c r="D82" s="142" t="s">
        <v>427</v>
      </c>
      <c r="E82" s="142" t="s">
        <v>3106</v>
      </c>
      <c r="F82" s="142" t="s">
        <v>3102</v>
      </c>
      <c r="G82" s="142" t="s">
        <v>3103</v>
      </c>
      <c r="H82" s="142" t="s">
        <v>3075</v>
      </c>
      <c r="I82" s="4" t="s">
        <v>3093</v>
      </c>
      <c r="J82" s="4" t="s">
        <v>3094</v>
      </c>
      <c r="K82" s="4" t="s">
        <v>3083</v>
      </c>
      <c r="L82" s="4">
        <v>40</v>
      </c>
      <c r="M82" s="143">
        <v>60</v>
      </c>
      <c r="N82" s="143">
        <f t="shared" si="1"/>
        <v>2400</v>
      </c>
    </row>
    <row r="83" spans="1:14" ht="14.25">
      <c r="A83" s="140" t="s">
        <v>3149</v>
      </c>
      <c r="B83" s="141">
        <v>40616</v>
      </c>
      <c r="C83" s="142">
        <v>1005</v>
      </c>
      <c r="D83" s="142" t="s">
        <v>427</v>
      </c>
      <c r="E83" s="142" t="s">
        <v>3106</v>
      </c>
      <c r="F83" s="142" t="s">
        <v>3102</v>
      </c>
      <c r="G83" s="142" t="s">
        <v>3103</v>
      </c>
      <c r="H83" s="142" t="s">
        <v>3075</v>
      </c>
      <c r="I83" s="4" t="s">
        <v>3098</v>
      </c>
      <c r="J83" s="4" t="s">
        <v>3099</v>
      </c>
      <c r="K83" s="4" t="s">
        <v>3078</v>
      </c>
      <c r="L83" s="4">
        <v>50</v>
      </c>
      <c r="M83" s="143">
        <v>90</v>
      </c>
      <c r="N83" s="143">
        <f t="shared" si="1"/>
        <v>4500</v>
      </c>
    </row>
    <row r="84" spans="1:14" ht="14.25">
      <c r="A84" s="140" t="s">
        <v>3150</v>
      </c>
      <c r="B84" s="141">
        <v>40625</v>
      </c>
      <c r="C84" s="142">
        <v>1012</v>
      </c>
      <c r="D84" s="142" t="s">
        <v>429</v>
      </c>
      <c r="E84" s="142" t="s">
        <v>3108</v>
      </c>
      <c r="F84" s="142" t="s">
        <v>3109</v>
      </c>
      <c r="G84" s="142" t="s">
        <v>3110</v>
      </c>
      <c r="H84" s="142" t="s">
        <v>3075</v>
      </c>
      <c r="I84" s="4" t="s">
        <v>3088</v>
      </c>
      <c r="J84" s="4" t="s">
        <v>3089</v>
      </c>
      <c r="K84" s="4" t="s">
        <v>3090</v>
      </c>
      <c r="L84" s="4">
        <v>40</v>
      </c>
      <c r="M84" s="143">
        <v>125</v>
      </c>
      <c r="N84" s="143">
        <f t="shared" si="1"/>
        <v>5000</v>
      </c>
    </row>
    <row r="85" spans="1:14" ht="14.25">
      <c r="A85" s="140" t="s">
        <v>3150</v>
      </c>
      <c r="B85" s="141">
        <v>40625</v>
      </c>
      <c r="C85" s="142">
        <v>1012</v>
      </c>
      <c r="D85" s="142" t="s">
        <v>429</v>
      </c>
      <c r="E85" s="142" t="s">
        <v>3108</v>
      </c>
      <c r="F85" s="142" t="s">
        <v>3109</v>
      </c>
      <c r="G85" s="142" t="s">
        <v>3110</v>
      </c>
      <c r="H85" s="142" t="s">
        <v>3075</v>
      </c>
      <c r="I85" s="4" t="s">
        <v>3091</v>
      </c>
      <c r="J85" s="4" t="s">
        <v>3104</v>
      </c>
      <c r="K85" s="4" t="s">
        <v>3090</v>
      </c>
      <c r="L85" s="4">
        <v>50</v>
      </c>
      <c r="M85" s="143">
        <v>30</v>
      </c>
      <c r="N85" s="143">
        <f t="shared" si="1"/>
        <v>1500</v>
      </c>
    </row>
    <row r="86" spans="1:14" ht="14.25">
      <c r="A86" s="140" t="s">
        <v>3151</v>
      </c>
      <c r="B86" s="141">
        <v>40634</v>
      </c>
      <c r="C86" s="142">
        <v>1007</v>
      </c>
      <c r="D86" s="142" t="s">
        <v>432</v>
      </c>
      <c r="E86" s="142" t="s">
        <v>3112</v>
      </c>
      <c r="F86" s="142" t="s">
        <v>3113</v>
      </c>
      <c r="G86" s="142" t="s">
        <v>3110</v>
      </c>
      <c r="H86" s="142" t="s">
        <v>3075</v>
      </c>
      <c r="I86" s="4" t="s">
        <v>3093</v>
      </c>
      <c r="J86" s="4" t="s">
        <v>3094</v>
      </c>
      <c r="K86" s="4" t="s">
        <v>3083</v>
      </c>
      <c r="L86" s="4">
        <v>10</v>
      </c>
      <c r="M86" s="143">
        <v>60</v>
      </c>
      <c r="N86" s="143">
        <f t="shared" si="1"/>
        <v>600</v>
      </c>
    </row>
    <row r="87" spans="1:14" ht="14.25">
      <c r="A87" s="140" t="s">
        <v>3151</v>
      </c>
      <c r="B87" s="141">
        <v>40634</v>
      </c>
      <c r="C87" s="142">
        <v>1007</v>
      </c>
      <c r="D87" s="142" t="s">
        <v>432</v>
      </c>
      <c r="E87" s="142" t="s">
        <v>3112</v>
      </c>
      <c r="F87" s="142" t="s">
        <v>3113</v>
      </c>
      <c r="G87" s="142" t="s">
        <v>3110</v>
      </c>
      <c r="H87" s="142" t="s">
        <v>3075</v>
      </c>
      <c r="I87" s="4" t="s">
        <v>3098</v>
      </c>
      <c r="J87" s="4" t="s">
        <v>3099</v>
      </c>
      <c r="K87" s="4" t="s">
        <v>3078</v>
      </c>
      <c r="L87" s="4">
        <v>20</v>
      </c>
      <c r="M87" s="143">
        <v>90</v>
      </c>
      <c r="N87" s="143">
        <f t="shared" si="1"/>
        <v>1800</v>
      </c>
    </row>
    <row r="88" spans="1:14" ht="14.25">
      <c r="A88" s="140" t="s">
        <v>3152</v>
      </c>
      <c r="B88" s="141">
        <v>40643</v>
      </c>
      <c r="C88" s="142">
        <v>1008</v>
      </c>
      <c r="D88" s="142" t="s">
        <v>434</v>
      </c>
      <c r="E88" s="142" t="s">
        <v>3115</v>
      </c>
      <c r="F88" s="142" t="s">
        <v>3116</v>
      </c>
      <c r="G88" s="142" t="s">
        <v>3074</v>
      </c>
      <c r="H88" s="142" t="s">
        <v>3075</v>
      </c>
      <c r="I88" s="4" t="s">
        <v>3076</v>
      </c>
      <c r="J88" s="4" t="s">
        <v>3077</v>
      </c>
      <c r="K88" s="4" t="s">
        <v>3078</v>
      </c>
      <c r="L88" s="4">
        <v>40</v>
      </c>
      <c r="M88" s="143">
        <v>10</v>
      </c>
      <c r="N88" s="143">
        <f t="shared" si="1"/>
        <v>400</v>
      </c>
    </row>
    <row r="89" spans="1:14" ht="14.25">
      <c r="A89" s="140" t="s">
        <v>3152</v>
      </c>
      <c r="B89" s="141">
        <v>40643</v>
      </c>
      <c r="C89" s="142">
        <v>1008</v>
      </c>
      <c r="D89" s="142" t="s">
        <v>434</v>
      </c>
      <c r="E89" s="142" t="s">
        <v>3115</v>
      </c>
      <c r="F89" s="142" t="s">
        <v>3116</v>
      </c>
      <c r="G89" s="142" t="s">
        <v>3074</v>
      </c>
      <c r="H89" s="142" t="s">
        <v>3075</v>
      </c>
      <c r="I89" s="4" t="s">
        <v>3088</v>
      </c>
      <c r="J89" s="4" t="s">
        <v>3089</v>
      </c>
      <c r="K89" s="4" t="s">
        <v>3090</v>
      </c>
      <c r="L89" s="4">
        <v>50</v>
      </c>
      <c r="M89" s="143">
        <v>125</v>
      </c>
      <c r="N89" s="143">
        <f t="shared" si="1"/>
        <v>6250</v>
      </c>
    </row>
    <row r="90" spans="1:14" ht="14.25">
      <c r="A90" s="140" t="s">
        <v>3153</v>
      </c>
      <c r="B90" s="141">
        <v>40652</v>
      </c>
      <c r="C90" s="142">
        <v>1009</v>
      </c>
      <c r="D90" s="142" t="s">
        <v>436</v>
      </c>
      <c r="E90" s="142" t="s">
        <v>3118</v>
      </c>
      <c r="F90" s="142" t="s">
        <v>3102</v>
      </c>
      <c r="G90" s="142" t="s">
        <v>3103</v>
      </c>
      <c r="H90" s="142" t="s">
        <v>3075</v>
      </c>
      <c r="I90" s="4" t="s">
        <v>3098</v>
      </c>
      <c r="J90" s="4" t="s">
        <v>3099</v>
      </c>
      <c r="K90" s="4" t="s">
        <v>3078</v>
      </c>
      <c r="L90" s="4">
        <v>20</v>
      </c>
      <c r="M90" s="143">
        <v>90</v>
      </c>
      <c r="N90" s="143">
        <f t="shared" si="1"/>
        <v>1800</v>
      </c>
    </row>
    <row r="91" spans="1:14" ht="14.25">
      <c r="A91" s="140" t="s">
        <v>3153</v>
      </c>
      <c r="B91" s="141">
        <v>40652</v>
      </c>
      <c r="C91" s="142">
        <v>1009</v>
      </c>
      <c r="D91" s="142" t="s">
        <v>436</v>
      </c>
      <c r="E91" s="142" t="s">
        <v>3118</v>
      </c>
      <c r="F91" s="142" t="s">
        <v>3102</v>
      </c>
      <c r="G91" s="142" t="s">
        <v>3103</v>
      </c>
      <c r="H91" s="142" t="s">
        <v>3075</v>
      </c>
      <c r="I91" s="4" t="s">
        <v>3088</v>
      </c>
      <c r="J91" s="4" t="s">
        <v>3089</v>
      </c>
      <c r="K91" s="4" t="s">
        <v>3090</v>
      </c>
      <c r="L91" s="4">
        <v>30</v>
      </c>
      <c r="M91" s="143">
        <v>125</v>
      </c>
      <c r="N91" s="143">
        <f t="shared" si="1"/>
        <v>3750</v>
      </c>
    </row>
    <row r="92" spans="1:14" ht="14.25">
      <c r="A92" s="140" t="s">
        <v>3154</v>
      </c>
      <c r="B92" s="141">
        <v>40661</v>
      </c>
      <c r="C92" s="142">
        <v>1018</v>
      </c>
      <c r="D92" s="142" t="s">
        <v>437</v>
      </c>
      <c r="E92" s="142" t="s">
        <v>3120</v>
      </c>
      <c r="F92" s="142" t="s">
        <v>3109</v>
      </c>
      <c r="G92" s="142" t="s">
        <v>3110</v>
      </c>
      <c r="H92" s="142" t="s">
        <v>3075</v>
      </c>
      <c r="I92" s="4" t="s">
        <v>3091</v>
      </c>
      <c r="J92" s="4" t="s">
        <v>3104</v>
      </c>
      <c r="K92" s="4" t="s">
        <v>3090</v>
      </c>
      <c r="L92" s="4">
        <v>40</v>
      </c>
      <c r="M92" s="143">
        <v>30</v>
      </c>
      <c r="N92" s="143">
        <f t="shared" si="1"/>
        <v>1200</v>
      </c>
    </row>
    <row r="93" spans="1:14" ht="14.25">
      <c r="A93" s="140" t="s">
        <v>3154</v>
      </c>
      <c r="B93" s="141">
        <v>40661</v>
      </c>
      <c r="C93" s="142">
        <v>1018</v>
      </c>
      <c r="D93" s="142" t="s">
        <v>437</v>
      </c>
      <c r="E93" s="142" t="s">
        <v>3120</v>
      </c>
      <c r="F93" s="142" t="s">
        <v>3109</v>
      </c>
      <c r="G93" s="142" t="s">
        <v>3110</v>
      </c>
      <c r="H93" s="142" t="s">
        <v>3075</v>
      </c>
      <c r="I93" s="4" t="s">
        <v>3093</v>
      </c>
      <c r="J93" s="4" t="s">
        <v>3094</v>
      </c>
      <c r="K93" s="4" t="s">
        <v>3083</v>
      </c>
      <c r="L93" s="4">
        <v>50</v>
      </c>
      <c r="M93" s="143">
        <v>60</v>
      </c>
      <c r="N93" s="143">
        <f t="shared" si="1"/>
        <v>3000</v>
      </c>
    </row>
    <row r="94" spans="1:14" ht="14.25">
      <c r="A94" s="140" t="s">
        <v>3155</v>
      </c>
      <c r="B94" s="141">
        <v>40670</v>
      </c>
      <c r="C94" s="142">
        <v>1019</v>
      </c>
      <c r="D94" s="142" t="s">
        <v>438</v>
      </c>
      <c r="E94" s="142" t="s">
        <v>3122</v>
      </c>
      <c r="F94" s="142" t="s">
        <v>3102</v>
      </c>
      <c r="G94" s="142" t="s">
        <v>3103</v>
      </c>
      <c r="H94" s="142" t="s">
        <v>3075</v>
      </c>
      <c r="I94" s="4" t="s">
        <v>3098</v>
      </c>
      <c r="J94" s="4" t="s">
        <v>3099</v>
      </c>
      <c r="K94" s="4" t="s">
        <v>3078</v>
      </c>
      <c r="L94" s="4">
        <v>40</v>
      </c>
      <c r="M94" s="143">
        <v>90</v>
      </c>
      <c r="N94" s="143">
        <f t="shared" si="1"/>
        <v>3600</v>
      </c>
    </row>
    <row r="95" spans="1:14" ht="14.25">
      <c r="A95" s="140" t="s">
        <v>3155</v>
      </c>
      <c r="B95" s="141">
        <v>40670</v>
      </c>
      <c r="C95" s="142">
        <v>1019</v>
      </c>
      <c r="D95" s="142" t="s">
        <v>438</v>
      </c>
      <c r="E95" s="142" t="s">
        <v>3122</v>
      </c>
      <c r="F95" s="142" t="s">
        <v>3102</v>
      </c>
      <c r="G95" s="142" t="s">
        <v>3103</v>
      </c>
      <c r="H95" s="142" t="s">
        <v>3075</v>
      </c>
      <c r="I95" s="4" t="s">
        <v>3088</v>
      </c>
      <c r="J95" s="4" t="s">
        <v>3092</v>
      </c>
      <c r="K95" s="4" t="s">
        <v>3083</v>
      </c>
      <c r="L95" s="4">
        <v>50</v>
      </c>
      <c r="M95" s="143">
        <v>90</v>
      </c>
      <c r="N95" s="143">
        <f t="shared" si="1"/>
        <v>4500</v>
      </c>
    </row>
    <row r="96" spans="1:14" ht="14.25">
      <c r="A96" s="140" t="s">
        <v>3156</v>
      </c>
      <c r="B96" s="141">
        <v>40679</v>
      </c>
      <c r="C96" s="142">
        <v>1001</v>
      </c>
      <c r="D96" s="142" t="s">
        <v>415</v>
      </c>
      <c r="E96" s="142" t="s">
        <v>3072</v>
      </c>
      <c r="F96" s="142" t="s">
        <v>3073</v>
      </c>
      <c r="G96" s="142" t="s">
        <v>3074</v>
      </c>
      <c r="H96" s="142" t="s">
        <v>3075</v>
      </c>
      <c r="I96" s="4" t="s">
        <v>3091</v>
      </c>
      <c r="J96" s="4" t="s">
        <v>3104</v>
      </c>
      <c r="K96" s="4" t="s">
        <v>3090</v>
      </c>
      <c r="L96" s="4">
        <v>10</v>
      </c>
      <c r="M96" s="143">
        <v>30</v>
      </c>
      <c r="N96" s="143">
        <f t="shared" si="1"/>
        <v>300</v>
      </c>
    </row>
    <row r="97" spans="1:14" ht="14.25">
      <c r="A97" s="140" t="s">
        <v>3156</v>
      </c>
      <c r="B97" s="141">
        <v>40679</v>
      </c>
      <c r="C97" s="142">
        <v>1001</v>
      </c>
      <c r="D97" s="142" t="s">
        <v>415</v>
      </c>
      <c r="E97" s="142" t="s">
        <v>3072</v>
      </c>
      <c r="F97" s="142" t="s">
        <v>3073</v>
      </c>
      <c r="G97" s="142" t="s">
        <v>3074</v>
      </c>
      <c r="H97" s="142" t="s">
        <v>3075</v>
      </c>
      <c r="I97" s="4" t="s">
        <v>3093</v>
      </c>
      <c r="J97" s="4" t="s">
        <v>3094</v>
      </c>
      <c r="K97" s="4" t="s">
        <v>3083</v>
      </c>
      <c r="L97" s="4">
        <v>20</v>
      </c>
      <c r="M97" s="143">
        <v>60</v>
      </c>
      <c r="N97" s="143">
        <f t="shared" si="1"/>
        <v>1200</v>
      </c>
    </row>
    <row r="98" spans="1:14" ht="14.25">
      <c r="A98" s="140" t="s">
        <v>3157</v>
      </c>
      <c r="B98" s="141">
        <v>40688</v>
      </c>
      <c r="C98" s="142">
        <v>1002</v>
      </c>
      <c r="D98" s="142" t="s">
        <v>418</v>
      </c>
      <c r="E98" s="142" t="s">
        <v>3085</v>
      </c>
      <c r="F98" s="142" t="s">
        <v>3086</v>
      </c>
      <c r="G98" s="142" t="s">
        <v>3087</v>
      </c>
      <c r="H98" s="142" t="s">
        <v>3075</v>
      </c>
      <c r="I98" s="4" t="s">
        <v>3098</v>
      </c>
      <c r="J98" s="4" t="s">
        <v>3099</v>
      </c>
      <c r="K98" s="4" t="s">
        <v>3078</v>
      </c>
      <c r="L98" s="4">
        <v>40</v>
      </c>
      <c r="M98" s="143">
        <v>90</v>
      </c>
      <c r="N98" s="143">
        <f t="shared" si="1"/>
        <v>3600</v>
      </c>
    </row>
    <row r="99" spans="1:14" ht="14.25">
      <c r="A99" s="140" t="s">
        <v>3157</v>
      </c>
      <c r="B99" s="141">
        <v>40688</v>
      </c>
      <c r="C99" s="142">
        <v>1002</v>
      </c>
      <c r="D99" s="142" t="s">
        <v>418</v>
      </c>
      <c r="E99" s="142" t="s">
        <v>3085</v>
      </c>
      <c r="F99" s="142" t="s">
        <v>3086</v>
      </c>
      <c r="G99" s="142" t="s">
        <v>3087</v>
      </c>
      <c r="H99" s="142" t="s">
        <v>3075</v>
      </c>
      <c r="I99" s="4" t="s">
        <v>3076</v>
      </c>
      <c r="J99" s="4" t="s">
        <v>3077</v>
      </c>
      <c r="K99" s="4" t="s">
        <v>3078</v>
      </c>
      <c r="L99" s="4">
        <v>50</v>
      </c>
      <c r="M99" s="143">
        <v>10</v>
      </c>
      <c r="N99" s="143">
        <f t="shared" si="1"/>
        <v>500</v>
      </c>
    </row>
    <row r="100" spans="1:14" ht="14.25">
      <c r="A100" s="140" t="s">
        <v>3158</v>
      </c>
      <c r="B100" s="141">
        <v>40697</v>
      </c>
      <c r="C100" s="142">
        <v>1003</v>
      </c>
      <c r="D100" s="142" t="s">
        <v>422</v>
      </c>
      <c r="E100" s="142" t="s">
        <v>3096</v>
      </c>
      <c r="F100" s="142" t="s">
        <v>3097</v>
      </c>
      <c r="G100" s="142" t="s">
        <v>3074</v>
      </c>
      <c r="H100" s="142" t="s">
        <v>3075</v>
      </c>
      <c r="I100" s="4" t="s">
        <v>3079</v>
      </c>
      <c r="J100" s="4" t="s">
        <v>3080</v>
      </c>
      <c r="K100" s="4" t="s">
        <v>3078</v>
      </c>
      <c r="L100" s="4">
        <v>10</v>
      </c>
      <c r="M100" s="143">
        <v>30</v>
      </c>
      <c r="N100" s="143">
        <f t="shared" si="1"/>
        <v>300</v>
      </c>
    </row>
    <row r="101" spans="1:14" ht="14.25">
      <c r="A101" s="140" t="s">
        <v>3158</v>
      </c>
      <c r="B101" s="141">
        <v>40697</v>
      </c>
      <c r="C101" s="142">
        <v>1003</v>
      </c>
      <c r="D101" s="142" t="s">
        <v>422</v>
      </c>
      <c r="E101" s="142" t="s">
        <v>3096</v>
      </c>
      <c r="F101" s="142" t="s">
        <v>3097</v>
      </c>
      <c r="G101" s="142" t="s">
        <v>3074</v>
      </c>
      <c r="H101" s="142" t="s">
        <v>3075</v>
      </c>
      <c r="I101" s="4" t="s">
        <v>3081</v>
      </c>
      <c r="J101" s="4" t="s">
        <v>3082</v>
      </c>
      <c r="K101" s="4" t="s">
        <v>3083</v>
      </c>
      <c r="L101" s="4">
        <v>20</v>
      </c>
      <c r="M101" s="143">
        <v>5</v>
      </c>
      <c r="N101" s="143">
        <f t="shared" si="1"/>
        <v>100</v>
      </c>
    </row>
    <row r="102" spans="1:14" ht="14.25">
      <c r="A102" s="140" t="s">
        <v>3159</v>
      </c>
      <c r="B102" s="141">
        <v>40706</v>
      </c>
      <c r="C102" s="142">
        <v>1010</v>
      </c>
      <c r="D102" s="142" t="s">
        <v>423</v>
      </c>
      <c r="E102" s="142" t="s">
        <v>3101</v>
      </c>
      <c r="F102" s="142" t="s">
        <v>3102</v>
      </c>
      <c r="G102" s="142" t="s">
        <v>3103</v>
      </c>
      <c r="H102" s="142" t="s">
        <v>3075</v>
      </c>
      <c r="I102" s="4" t="s">
        <v>3088</v>
      </c>
      <c r="J102" s="4" t="s">
        <v>3089</v>
      </c>
      <c r="K102" s="4" t="s">
        <v>3090</v>
      </c>
      <c r="L102" s="4">
        <v>40</v>
      </c>
      <c r="M102" s="143">
        <v>125</v>
      </c>
      <c r="N102" s="143">
        <f t="shared" si="1"/>
        <v>5000</v>
      </c>
    </row>
    <row r="103" spans="1:14" ht="14.25">
      <c r="A103" s="140" t="s">
        <v>3159</v>
      </c>
      <c r="B103" s="141">
        <v>40706</v>
      </c>
      <c r="C103" s="142">
        <v>1010</v>
      </c>
      <c r="D103" s="142" t="s">
        <v>423</v>
      </c>
      <c r="E103" s="142" t="s">
        <v>3101</v>
      </c>
      <c r="F103" s="142" t="s">
        <v>3102</v>
      </c>
      <c r="G103" s="142" t="s">
        <v>3103</v>
      </c>
      <c r="H103" s="142" t="s">
        <v>3075</v>
      </c>
      <c r="I103" s="4" t="s">
        <v>3091</v>
      </c>
      <c r="J103" s="4" t="s">
        <v>3104</v>
      </c>
      <c r="K103" s="4" t="s">
        <v>3090</v>
      </c>
      <c r="L103" s="4">
        <v>50</v>
      </c>
      <c r="M103" s="143">
        <v>30</v>
      </c>
      <c r="N103" s="143">
        <f t="shared" si="1"/>
        <v>1500</v>
      </c>
    </row>
    <row r="104" spans="1:14" ht="14.25">
      <c r="A104" s="140" t="s">
        <v>3160</v>
      </c>
      <c r="B104" s="141">
        <v>40715</v>
      </c>
      <c r="C104" s="142">
        <v>1005</v>
      </c>
      <c r="D104" s="142" t="s">
        <v>427</v>
      </c>
      <c r="E104" s="142" t="s">
        <v>3106</v>
      </c>
      <c r="F104" s="142" t="s">
        <v>3102</v>
      </c>
      <c r="G104" s="142" t="s">
        <v>3103</v>
      </c>
      <c r="H104" s="142" t="s">
        <v>3075</v>
      </c>
      <c r="I104" s="4" t="s">
        <v>3093</v>
      </c>
      <c r="J104" s="4" t="s">
        <v>3094</v>
      </c>
      <c r="K104" s="4" t="s">
        <v>3083</v>
      </c>
      <c r="L104" s="4">
        <v>40</v>
      </c>
      <c r="M104" s="143">
        <v>60</v>
      </c>
      <c r="N104" s="143">
        <f t="shared" si="1"/>
        <v>2400</v>
      </c>
    </row>
    <row r="105" spans="1:14" ht="14.25">
      <c r="A105" s="140" t="s">
        <v>3160</v>
      </c>
      <c r="B105" s="141">
        <v>40715</v>
      </c>
      <c r="C105" s="142">
        <v>1005</v>
      </c>
      <c r="D105" s="142" t="s">
        <v>427</v>
      </c>
      <c r="E105" s="142" t="s">
        <v>3106</v>
      </c>
      <c r="F105" s="142" t="s">
        <v>3102</v>
      </c>
      <c r="G105" s="142" t="s">
        <v>3103</v>
      </c>
      <c r="H105" s="142" t="s">
        <v>3075</v>
      </c>
      <c r="I105" s="4" t="s">
        <v>3098</v>
      </c>
      <c r="J105" s="4" t="s">
        <v>3099</v>
      </c>
      <c r="K105" s="4" t="s">
        <v>3078</v>
      </c>
      <c r="L105" s="4">
        <v>50</v>
      </c>
      <c r="M105" s="143">
        <v>90</v>
      </c>
      <c r="N105" s="143">
        <f t="shared" si="1"/>
        <v>4500</v>
      </c>
    </row>
    <row r="106" spans="1:14" ht="14.25">
      <c r="A106" s="140" t="s">
        <v>3161</v>
      </c>
      <c r="B106" s="141">
        <v>40724</v>
      </c>
      <c r="C106" s="142">
        <v>1012</v>
      </c>
      <c r="D106" s="142" t="s">
        <v>429</v>
      </c>
      <c r="E106" s="142" t="s">
        <v>3108</v>
      </c>
      <c r="F106" s="142" t="s">
        <v>3109</v>
      </c>
      <c r="G106" s="142" t="s">
        <v>3110</v>
      </c>
      <c r="H106" s="142" t="s">
        <v>3075</v>
      </c>
      <c r="I106" s="4" t="s">
        <v>3088</v>
      </c>
      <c r="J106" s="4" t="s">
        <v>3089</v>
      </c>
      <c r="K106" s="4" t="s">
        <v>3090</v>
      </c>
      <c r="L106" s="4">
        <v>40</v>
      </c>
      <c r="M106" s="143">
        <v>125</v>
      </c>
      <c r="N106" s="143">
        <f t="shared" si="1"/>
        <v>5000</v>
      </c>
    </row>
    <row r="107" spans="1:14" ht="14.25">
      <c r="A107" s="140" t="s">
        <v>3161</v>
      </c>
      <c r="B107" s="141">
        <v>40724</v>
      </c>
      <c r="C107" s="142">
        <v>1012</v>
      </c>
      <c r="D107" s="142" t="s">
        <v>429</v>
      </c>
      <c r="E107" s="142" t="s">
        <v>3108</v>
      </c>
      <c r="F107" s="142" t="s">
        <v>3109</v>
      </c>
      <c r="G107" s="142" t="s">
        <v>3110</v>
      </c>
      <c r="H107" s="142" t="s">
        <v>3075</v>
      </c>
      <c r="I107" s="4" t="s">
        <v>3091</v>
      </c>
      <c r="J107" s="4" t="s">
        <v>3104</v>
      </c>
      <c r="K107" s="4" t="s">
        <v>3090</v>
      </c>
      <c r="L107" s="4">
        <v>50</v>
      </c>
      <c r="M107" s="143">
        <v>30</v>
      </c>
      <c r="N107" s="143">
        <f t="shared" si="1"/>
        <v>1500</v>
      </c>
    </row>
    <row r="108" spans="1:14" ht="14.25">
      <c r="A108" s="140" t="s">
        <v>3162</v>
      </c>
      <c r="B108" s="141">
        <v>40733</v>
      </c>
      <c r="C108" s="142">
        <v>1007</v>
      </c>
      <c r="D108" s="142" t="s">
        <v>432</v>
      </c>
      <c r="E108" s="142" t="s">
        <v>3112</v>
      </c>
      <c r="F108" s="142" t="s">
        <v>3113</v>
      </c>
      <c r="G108" s="142" t="s">
        <v>3110</v>
      </c>
      <c r="H108" s="142" t="s">
        <v>3075</v>
      </c>
      <c r="I108" s="4" t="s">
        <v>3076</v>
      </c>
      <c r="J108" s="4" t="s">
        <v>3092</v>
      </c>
      <c r="K108" s="4" t="s">
        <v>3083</v>
      </c>
      <c r="L108" s="4">
        <v>10</v>
      </c>
      <c r="M108" s="143">
        <v>90</v>
      </c>
      <c r="N108" s="143">
        <f>M108*L108</f>
        <v>900</v>
      </c>
    </row>
    <row r="109" spans="1:14" ht="14.25">
      <c r="A109" s="140" t="s">
        <v>3162</v>
      </c>
      <c r="B109" s="141">
        <v>40733</v>
      </c>
      <c r="C109" s="142">
        <v>1007</v>
      </c>
      <c r="D109" s="142" t="s">
        <v>432</v>
      </c>
      <c r="E109" s="142" t="s">
        <v>3112</v>
      </c>
      <c r="F109" s="142" t="s">
        <v>3113</v>
      </c>
      <c r="G109" s="142" t="s">
        <v>3110</v>
      </c>
      <c r="H109" s="142" t="s">
        <v>3075</v>
      </c>
      <c r="I109" s="4" t="s">
        <v>3079</v>
      </c>
      <c r="J109" s="4" t="s">
        <v>3080</v>
      </c>
      <c r="K109" s="4" t="s">
        <v>3078</v>
      </c>
      <c r="L109" s="4">
        <v>20</v>
      </c>
      <c r="M109" s="143">
        <v>30</v>
      </c>
      <c r="N109" s="143">
        <f>M109*L109</f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18</vt:i4>
      </vt:variant>
      <vt:variant>
        <vt:lpstr>Adlandırılmış Aralıklar</vt:lpstr>
      </vt:variant>
      <vt:variant>
        <vt:i4>20</vt:i4>
      </vt:variant>
    </vt:vector>
  </HeadingPairs>
  <TitlesOfParts>
    <vt:vector size="38" baseType="lpstr">
      <vt:lpstr>Personel_Izin</vt:lpstr>
      <vt:lpstr>TOPLAM</vt:lpstr>
      <vt:lpstr>FC_GIDA</vt:lpstr>
      <vt:lpstr>FC_AYCİCEK</vt:lpstr>
      <vt:lpstr>FC_SUT</vt:lpstr>
      <vt:lpstr>FC_YAGLARI</vt:lpstr>
      <vt:lpstr>ORNEK_YAGCI</vt:lpstr>
      <vt:lpstr>Veri Tablosu  - Tek Değişken</vt:lpstr>
      <vt:lpstr>Veri Tablosu  - Çoklu Değişken</vt:lpstr>
      <vt:lpstr>Hedef Ara</vt:lpstr>
      <vt:lpstr>SATIŞLAR_1</vt:lpstr>
      <vt:lpstr>Gün_Ay_Yil</vt:lpstr>
      <vt:lpstr>Dolaylı</vt:lpstr>
      <vt:lpstr>CHECKUP GEÇERLİLİK TABLO</vt:lpstr>
      <vt:lpstr>UZMAN HEKİMLER</vt:lpstr>
      <vt:lpstr>Satışlar2</vt:lpstr>
      <vt:lpstr>Sayfa19</vt:lpstr>
      <vt:lpstr>SİPARİŞLER</vt:lpstr>
      <vt:lpstr>Sayfa19!aygaz</vt:lpstr>
      <vt:lpstr>'Hedef Ara'!aylık_ödeme</vt:lpstr>
      <vt:lpstr>Aylık_Ödeme</vt:lpstr>
      <vt:lpstr>Başlangıç_Dönem</vt:lpstr>
      <vt:lpstr>Bitiş_Dönem</vt:lpstr>
      <vt:lpstr>'Hedef Ara'!borç_miktarı</vt:lpstr>
      <vt:lpstr>Borç_Miktarı</vt:lpstr>
      <vt:lpstr>'Hedef Ara'!faiz_oranı</vt:lpstr>
      <vt:lpstr>Faiz_Oranı</vt:lpstr>
      <vt:lpstr>SATIŞLAR_1!Olcut</vt:lpstr>
      <vt:lpstr>Ödenen_Ana_Para_Tutarı</vt:lpstr>
      <vt:lpstr>Ödenen_Faiz_Tutarı</vt:lpstr>
      <vt:lpstr>'Hedef Ara'!tip</vt:lpstr>
      <vt:lpstr>Tip</vt:lpstr>
      <vt:lpstr>vade</vt:lpstr>
      <vt:lpstr>Vade_Ay</vt:lpstr>
      <vt:lpstr>'CHECKUP GEÇERLİLİK TABLO'!Yazdırma_Alanı</vt:lpstr>
      <vt:lpstr>'UZMAN HEKİMLER'!Yazdırma_Alanı</vt:lpstr>
      <vt:lpstr>'CHECKUP GEÇERLİLİK TABLO'!Yazdırma_Başlıkları</vt:lpstr>
      <vt:lpstr>'UZMAN HEKİMLER'!Yazdırma_Başlıkları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2020-03-14T04:20:27Z</dcterms:created>
  <dcterms:modified xsi:type="dcterms:W3CDTF">2020-03-14T05:40:15Z</dcterms:modified>
</cp:coreProperties>
</file>